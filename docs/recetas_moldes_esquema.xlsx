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quema" sheetId="1" state="visible" r:id="rId3"/>
    <sheet name="Puntuales" sheetId="2" state="visible" r:id="rId4"/>
    <sheet name="Otros" sheetId="3" state="visible" r:id="rId5"/>
    <sheet name="Leyen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<sst xmlns="http://schemas.openxmlformats.org/spreadsheetml/2006/main" count="491" uniqueCount="255">
  <si>
    <t xml:space="preserve">Esquema de recetas de moldes (2026-10-12)</t>
  </si>
  <si>
    <t xml:space="preserve">Blancos</t>
  </si>
  <si>
    <t xml:space="preserve">Receta con forma, rinde 4 (ver hoja del 2026-10-12: molde = papel/carbón/tijeras; patrón = papel/hilo/tinta; máscara = papel/tinta/tijeras; trama = hilo/papel; plantilla = papel/cuero/tijeras). YA ESCRITAS.</t>
  </si>
  <si>
    <t xml:space="preserve">Rango (7)</t>
  </si>
  <si>
    <t xml:space="preserve">Molde en blanco + tijeras + N hilos (N = 1 a 7, de Más alto a Más bajo). YA ESCRITAS.</t>
  </si>
  <si>
    <t xml:space="preserve">Calce (4)</t>
  </si>
  <si>
    <t xml:space="preserve">Molde en blanco + tijeras + N lanas (1 pegado, 2 ajustado, 4 suelto, 5 oversize; el 3 normal es el blanco). YA ESCRITAS.</t>
  </si>
  <si>
    <t xml:space="preserve">Ruedo (7)</t>
  </si>
  <si>
    <t xml:space="preserve">Molde en blanco + tijeras + N cueros (1 ajustado, 2 campana, 3 ondulado, 4 festoneado, 5 pico, 6 redondeado, 7 con cola). YA ESCRITAS.</t>
  </si>
  <si>
    <t xml:space="preserve">Volado (2)</t>
  </si>
  <si>
    <t xml:space="preserve">Molde en blanco + tijeras + N plumas (1 recto, 2 circular). YA ESCRITAS.</t>
  </si>
  <si>
    <t xml:space="preserve">Tramas (10)</t>
  </si>
  <si>
    <t xml:space="preserve">Receta con forma 3×3: trama en blanco al centro, tijeras abajo en el medio, hilo (cuero en los arneses) dibujando la trama. YA ESCRITAS (abajo los dibujos).</t>
  </si>
  <si>
    <t xml:space="preserve">Materiales y texturas (4)</t>
  </si>
  <si>
    <t xml:space="preserve">Sin forma, con trama en blanco: denim = tinte azul + 2 hilos; cuero = 2 cueros; acolchado = lana + hilo; fruncido = 3 hilos. YA ESCRITAS.</t>
  </si>
  <si>
    <t xml:space="preserve">Puntuales (hoja Puntuales)</t>
  </si>
  <si>
    <t xml:space="preserve">Molde en blanco + tijeras + la PRENDA que modifican (se gasta) + un ingrediente que da la FORMA (× cantidad si hace falta). PROPUESTA: la editás vos.</t>
  </si>
  <si>
    <t xml:space="preserve">Otros (hoja Otros)</t>
  </si>
  <si>
    <t xml:space="preserve">Patrones, máscaras, plantillas de aplique y de correa: cada uno con su propio blanco y un ingrediente singular. PROPUESTA: la editás vos.</t>
  </si>
  <si>
    <t xml:space="preserve">Dibujos de las tramas (S hilo, L cuero, B trama en blanco, T tijeras, · vacío)</t>
  </si>
  <si>
    <t xml:space="preserve">Trama</t>
  </si>
  <si>
    <t xml:space="preserve">Fila de arriba</t>
  </si>
  <si>
    <t xml:space="preserve">Fila del medio</t>
  </si>
  <si>
    <t xml:space="preserve">Fila de abajo</t>
  </si>
  <si>
    <t xml:space="preserve">Fina</t>
  </si>
  <si>
    <t xml:space="preserve">S · S</t>
  </si>
  <si>
    <t xml:space="preserve">· B ·</t>
  </si>
  <si>
    <t xml:space="preserve">S T S</t>
  </si>
  <si>
    <t xml:space="preserve">Gruesa</t>
  </si>
  <si>
    <t xml:space="preserve">S S S</t>
  </si>
  <si>
    <t xml:space="preserve">S B S</t>
  </si>
  <si>
    <t xml:space="preserve">Rayas</t>
  </si>
  <si>
    <t xml:space="preserve">· T ·</t>
  </si>
  <si>
    <t xml:space="preserve">Escocesa</t>
  </si>
  <si>
    <t xml:space="preserve">Perforada</t>
  </si>
  <si>
    <t xml:space="preserve">Hexagonal</t>
  </si>
  <si>
    <t xml:space="preserve">· S ·</t>
  </si>
  <si>
    <t xml:space="preserve">Encaje</t>
  </si>
  <si>
    <t xml:space="preserve">Arnés X</t>
  </si>
  <si>
    <t xml:space="preserve">L · L</t>
  </si>
  <si>
    <t xml:space="preserve">L T L</t>
  </si>
  <si>
    <t xml:space="preserve">Arnés bandas</t>
  </si>
  <si>
    <t xml:space="preserve">L L L</t>
  </si>
  <si>
    <t xml:space="preserve">Arnés tirantes</t>
  </si>
  <si>
    <t xml:space="preserve">L B L</t>
  </si>
  <si>
    <t xml:space="preserve">Moldes puntuales: blanco + tijeras + PRENDA + FORMA</t>
  </si>
  <si>
    <t xml:space="preserve">Amarillo = editable. 'Repetida' avisa si dos moldes tienen la misma prenda + forma + cantidad (la receta sería ambigua). La prenda y las tijeras se gastan.</t>
  </si>
  <si>
    <t xml:space="preserve">Grupo</t>
  </si>
  <si>
    <t xml:space="preserve">Molde</t>
  </si>
  <si>
    <t xml:space="preserve">Id</t>
  </si>
  <si>
    <t xml:space="preserve">Prenda</t>
  </si>
  <si>
    <t xml:space="preserve">Forma (ingrediente)</t>
  </si>
  <si>
    <t xml:space="preserve">Cant.</t>
  </si>
  <si>
    <t xml:space="preserve">Total en la grilla</t>
  </si>
  <si>
    <t xml:space="preserve">Repetida?</t>
  </si>
  <si>
    <t xml:space="preserve">Notas</t>
  </si>
  <si>
    <t xml:space="preserve">Cuello</t>
  </si>
  <si>
    <t xml:space="preserve">Cuello redondo</t>
  </si>
  <si>
    <t xml:space="preserve">modamod:molde_cuello_redondo</t>
  </si>
  <si>
    <t xml:space="preserve">Remera</t>
  </si>
  <si>
    <t xml:space="preserve">Bola de arcilla</t>
  </si>
  <si>
    <t xml:space="preserve">Cuello en V</t>
  </si>
  <si>
    <t xml:space="preserve">modamod:molde_cuello_v</t>
  </si>
  <si>
    <t xml:space="preserve">Fragmento de amatista</t>
  </si>
  <si>
    <t xml:space="preserve">punta</t>
  </si>
  <si>
    <t xml:space="preserve">Cuello polera</t>
  </si>
  <si>
    <t xml:space="preserve">modamod:molde_cuello_polera</t>
  </si>
  <si>
    <t xml:space="preserve">Rienda (lead)</t>
  </si>
  <si>
    <t xml:space="preserve">cuello alto atado</t>
  </si>
  <si>
    <t xml:space="preserve">Cuello cuadrado</t>
  </si>
  <si>
    <t xml:space="preserve">modamod:molde_cuello_cuadrado</t>
  </si>
  <si>
    <t xml:space="preserve">Ladrillo</t>
  </si>
  <si>
    <t xml:space="preserve">Cuello corazón</t>
  </si>
  <si>
    <t xml:space="preserve">modamod:molde_cuello_corazon</t>
  </si>
  <si>
    <t xml:space="preserve">Corazón del mar</t>
  </si>
  <si>
    <t xml:space="preserve">Cuello camisa</t>
  </si>
  <si>
    <t xml:space="preserve">modamod:molde_cuello_camisa</t>
  </si>
  <si>
    <t xml:space="preserve">Pepita de hierro</t>
  </si>
  <si>
    <t xml:space="preserve">botón</t>
  </si>
  <si>
    <t xml:space="preserve">Frente abierto</t>
  </si>
  <si>
    <t xml:space="preserve">modamod:molde_chaqueta_frente_abierta</t>
  </si>
  <si>
    <t xml:space="preserve">Pepita de oro</t>
  </si>
  <si>
    <t xml:space="preserve">Frente cruzado</t>
  </si>
  <si>
    <t xml:space="preserve">modamod:molde_chaqueta_frente_cruzada</t>
  </si>
  <si>
    <t xml:space="preserve">Frente abierto hasta el pecho</t>
  </si>
  <si>
    <t xml:space="preserve">modamod:molde_chaqueta_frente_abierta_pecho</t>
  </si>
  <si>
    <t xml:space="preserve">Con capucha</t>
  </si>
  <si>
    <t xml:space="preserve">modamod:molde_chaqueta_capucha_con</t>
  </si>
  <si>
    <t xml:space="preserve">Lana (cualquier color)</t>
  </si>
  <si>
    <t xml:space="preserve">Solapa en pico</t>
  </si>
  <si>
    <t xml:space="preserve">modamod:molde_chaqueta_solapa_pico</t>
  </si>
  <si>
    <t xml:space="preserve">Pedernal</t>
  </si>
  <si>
    <t xml:space="preserve">Solapa redonda</t>
  </si>
  <si>
    <t xml:space="preserve">modamod:molde_chaqueta_solapa_redonda</t>
  </si>
  <si>
    <t xml:space="preserve">Bola de nieve</t>
  </si>
  <si>
    <t xml:space="preserve">Solapa chal</t>
  </si>
  <si>
    <t xml:space="preserve">modamod:molde_chaqueta_solapa_chal</t>
  </si>
  <si>
    <t xml:space="preserve">Hilo</t>
  </si>
  <si>
    <t xml:space="preserve">Pollera</t>
  </si>
  <si>
    <t xml:space="preserve">Pollera tableada</t>
  </si>
  <si>
    <t xml:space="preserve">modamod:molde_pollera_tableada</t>
  </si>
  <si>
    <t xml:space="preserve">Papel</t>
  </si>
  <si>
    <t xml:space="preserve">pliegues</t>
  </si>
  <si>
    <t xml:space="preserve">Pollera tubo</t>
  </si>
  <si>
    <t xml:space="preserve">modamod:molde_pollera_tubo</t>
  </si>
  <si>
    <t xml:space="preserve">Palo</t>
  </si>
  <si>
    <t xml:space="preserve">Pollera globo</t>
  </si>
  <si>
    <t xml:space="preserve">modamod:molde_pollera_globo</t>
  </si>
  <si>
    <t xml:space="preserve">Bola de slime</t>
  </si>
  <si>
    <t xml:space="preserve">Pollera circular</t>
  </si>
  <si>
    <t xml:space="preserve">modamod:molde_pollera_circular</t>
  </si>
  <si>
    <t xml:space="preserve">Delantal</t>
  </si>
  <si>
    <t xml:space="preserve">Delantal trapecio</t>
  </si>
  <si>
    <t xml:space="preserve">modamod:molde_delantal_trapecio</t>
  </si>
  <si>
    <t xml:space="preserve">Delantal peto</t>
  </si>
  <si>
    <t xml:space="preserve">modamod:molde_delantal_peto</t>
  </si>
  <si>
    <t xml:space="preserve">Cuero</t>
  </si>
  <si>
    <t xml:space="preserve">Delantal corazón</t>
  </si>
  <si>
    <t xml:space="preserve">modamod:molde_delantal_corazon</t>
  </si>
  <si>
    <t xml:space="preserve">Delantal festón</t>
  </si>
  <si>
    <t xml:space="preserve">modamod:molde_delantal_feston</t>
  </si>
  <si>
    <t xml:space="preserve">Concha de nautilo</t>
  </si>
  <si>
    <t xml:space="preserve">Tirantes rectos</t>
  </si>
  <si>
    <t xml:space="preserve">modamod:molde_delantal_tirantes_rectos</t>
  </si>
  <si>
    <t xml:space="preserve">Tirantes cruzados</t>
  </si>
  <si>
    <t xml:space="preserve">modamod:molde_delantal_tirantes_cruzados</t>
  </si>
  <si>
    <t xml:space="preserve">Cobertura solo el frente</t>
  </si>
  <si>
    <t xml:space="preserve">modamod:molde_delantal_cobertura_frente</t>
  </si>
  <si>
    <t xml:space="preserve">Cobertura angosta</t>
  </si>
  <si>
    <t xml:space="preserve">modamod:molde_delantal_cobertura_angosto</t>
  </si>
  <si>
    <t xml:space="preserve">Capa</t>
  </si>
  <si>
    <t xml:space="preserve">modamod:molde_capa_con_capucha</t>
  </si>
  <si>
    <t xml:space="preserve">Cuello alto</t>
  </si>
  <si>
    <t xml:space="preserve">modamod:molde_capa_cuello_alto</t>
  </si>
  <si>
    <t xml:space="preserve">Borde del embozo</t>
  </si>
  <si>
    <t xml:space="preserve">modamod:molde_capa_borde_embozo</t>
  </si>
  <si>
    <t xml:space="preserve">Sombrero</t>
  </si>
  <si>
    <t xml:space="preserve">Ala corta</t>
  </si>
  <si>
    <t xml:space="preserve">modamod:molde_sombrero_ala_corta</t>
  </si>
  <si>
    <t xml:space="preserve">Vincha</t>
  </si>
  <si>
    <t xml:space="preserve">modamod:molde_sombrero_ala_vincha</t>
  </si>
  <si>
    <t xml:space="preserve">Cofia</t>
  </si>
  <si>
    <t xml:space="preserve">modamod:molde_sombrero_ala_cofia</t>
  </si>
  <si>
    <t xml:space="preserve">Punta doblada</t>
  </si>
  <si>
    <t xml:space="preserve">modamod:molde_sombrero_punta_doblada</t>
  </si>
  <si>
    <t xml:space="preserve">Banda</t>
  </si>
  <si>
    <t xml:space="preserve">Zona cintura</t>
  </si>
  <si>
    <t xml:space="preserve">modamod:molde_banda_zona_cintura</t>
  </si>
  <si>
    <t xml:space="preserve">Banda (cinto/collar)</t>
  </si>
  <si>
    <t xml:space="preserve">Zona cuello</t>
  </si>
  <si>
    <t xml:space="preserve">modamod:molde_banda_zona_cuello</t>
  </si>
  <si>
    <t xml:space="preserve">Ancho fino</t>
  </si>
  <si>
    <t xml:space="preserve">modamod:molde_banda_ancho_fino</t>
  </si>
  <si>
    <t xml:space="preserve">Ancho grande</t>
  </si>
  <si>
    <t xml:space="preserve">modamod:molde_banda_ancho_ancho</t>
  </si>
  <si>
    <t xml:space="preserve">Herraje placa</t>
  </si>
  <si>
    <t xml:space="preserve">modamod:molde_banda_herraje_placa</t>
  </si>
  <si>
    <t xml:space="preserve">Lingote de hierro</t>
  </si>
  <si>
    <t xml:space="preserve">la hebilla</t>
  </si>
  <si>
    <t xml:space="preserve">Herraje aro</t>
  </si>
  <si>
    <t xml:space="preserve">modamod:molde_banda_herraje_aro</t>
  </si>
  <si>
    <t xml:space="preserve">Colgante campanita</t>
  </si>
  <si>
    <t xml:space="preserve">modamod:molde_banda_herraje_campana</t>
  </si>
  <si>
    <t xml:space="preserve">Colgante hueso</t>
  </si>
  <si>
    <t xml:space="preserve">modamod:molde_banda_herraje_hueso</t>
  </si>
  <si>
    <t xml:space="preserve">Hueso</t>
  </si>
  <si>
    <t xml:space="preserve">Colgante corazón</t>
  </si>
  <si>
    <t xml:space="preserve">modamod:molde_banda_herraje_corazon</t>
  </si>
  <si>
    <t xml:space="preserve">Colgante medalla</t>
  </si>
  <si>
    <t xml:space="preserve">modamod:molde_banda_herraje_medalla</t>
  </si>
  <si>
    <t xml:space="preserve">Lingote de oro</t>
  </si>
  <si>
    <t xml:space="preserve">Calzado</t>
  </si>
  <si>
    <t xml:space="preserve">Caña baja</t>
  </si>
  <si>
    <t xml:space="preserve">modamod:molde_borcego_cana_baja</t>
  </si>
  <si>
    <t xml:space="preserve">Borcegos</t>
  </si>
  <si>
    <t xml:space="preserve">Caña alta</t>
  </si>
  <si>
    <t xml:space="preserve">modamod:molde_borcego_cana_alta</t>
  </si>
  <si>
    <t xml:space="preserve">Suela de plataforma</t>
  </si>
  <si>
    <t xml:space="preserve">modamod:molde_borcego_suela_plataforma</t>
  </si>
  <si>
    <t xml:space="preserve">Botamanga por fuera</t>
  </si>
  <si>
    <t xml:space="preserve">modamod:molde_borcego_botamanga_afuera</t>
  </si>
  <si>
    <t xml:space="preserve">Patrones, máscaras, plantillas y correas (cada uno con su blanco)</t>
  </si>
  <si>
    <t xml:space="preserve">Sin forma: blanco + hasta 3 ingredientes (con cantidad). Amarillo = editable.</t>
  </si>
  <si>
    <t xml:space="preserve">Ítem</t>
  </si>
  <si>
    <t xml:space="preserve">Blanco</t>
  </si>
  <si>
    <t xml:space="preserve">Ing. 1</t>
  </si>
  <si>
    <t xml:space="preserve">Ing. 2</t>
  </si>
  <si>
    <t xml:space="preserve">Total</t>
  </si>
  <si>
    <t xml:space="preserve">Patrón</t>
  </si>
  <si>
    <t xml:space="preserve">modamod:pattern_rayas</t>
  </si>
  <si>
    <t xml:space="preserve">Patrón en blanco</t>
  </si>
  <si>
    <t xml:space="preserve">Saco de tinta</t>
  </si>
  <si>
    <t xml:space="preserve">Rayado</t>
  </si>
  <si>
    <t xml:space="preserve">modamod:pattern_stripe_alt</t>
  </si>
  <si>
    <t xml:space="preserve">Raya superior</t>
  </si>
  <si>
    <t xml:space="preserve">modamod:pattern_stripe_top</t>
  </si>
  <si>
    <t xml:space="preserve">Tres rayas</t>
  </si>
  <si>
    <t xml:space="preserve">modamod:pattern_triple_stripe</t>
  </si>
  <si>
    <t xml:space="preserve">Corazones</t>
  </si>
  <si>
    <t xml:space="preserve">modamod:pattern_corazones</t>
  </si>
  <si>
    <t xml:space="preserve">Estrellas</t>
  </si>
  <si>
    <t xml:space="preserve">modamod:pattern_estrellas</t>
  </si>
  <si>
    <t xml:space="preserve">Polvo de piedra luminosa</t>
  </si>
  <si>
    <t xml:space="preserve">Lunares</t>
  </si>
  <si>
    <t xml:space="preserve">modamod:pattern_lunares</t>
  </si>
  <si>
    <t xml:space="preserve">Vichy</t>
  </si>
  <si>
    <t xml:space="preserve">modamod:pattern_vichy</t>
  </si>
  <si>
    <t xml:space="preserve">Tinte negro</t>
  </si>
  <si>
    <t xml:space="preserve">Máscara</t>
  </si>
  <si>
    <t xml:space="preserve">Círculo</t>
  </si>
  <si>
    <t xml:space="preserve">modamod:molde_mascara_circulo</t>
  </si>
  <si>
    <t xml:space="preserve">Máscara en blanco</t>
  </si>
  <si>
    <t xml:space="preserve">Cuadrado</t>
  </si>
  <si>
    <t xml:space="preserve">modamod:molde_mascara_cuadrado</t>
  </si>
  <si>
    <t xml:space="preserve">Estrella</t>
  </si>
  <si>
    <t xml:space="preserve">modamod:molde_mascara_estrella</t>
  </si>
  <si>
    <t xml:space="preserve">Franja</t>
  </si>
  <si>
    <t xml:space="preserve">modamod:molde_mascara_franja</t>
  </si>
  <si>
    <t xml:space="preserve">Triángulo</t>
  </si>
  <si>
    <t xml:space="preserve">modamod:molde_mascara_triangulo</t>
  </si>
  <si>
    <t xml:space="preserve">Aplique</t>
  </si>
  <si>
    <t xml:space="preserve">Moño</t>
  </si>
  <si>
    <t xml:space="preserve">modamod:molde_aplique_mono</t>
  </si>
  <si>
    <t xml:space="preserve">Plantilla en blanco</t>
  </si>
  <si>
    <t xml:space="preserve">Mariposa</t>
  </si>
  <si>
    <t xml:space="preserve">modamod:molde_aplique_mariposa</t>
  </si>
  <si>
    <t xml:space="preserve">Pluma</t>
  </si>
  <si>
    <t xml:space="preserve">Flor</t>
  </si>
  <si>
    <t xml:space="preserve">modamod:molde_aplique_flor</t>
  </si>
  <si>
    <t xml:space="preserve">Amapola</t>
  </si>
  <si>
    <t xml:space="preserve">Bolsillo canguro</t>
  </si>
  <si>
    <t xml:space="preserve">modamod:molde_aplique_canguro</t>
  </si>
  <si>
    <t xml:space="preserve">Corbata</t>
  </si>
  <si>
    <t xml:space="preserve">modamod:molde_aplique_corbata</t>
  </si>
  <si>
    <t xml:space="preserve">Correa</t>
  </si>
  <si>
    <t xml:space="preserve">Lisa</t>
  </si>
  <si>
    <t xml:space="preserve">modamod:molde_correa_lisa</t>
  </si>
  <si>
    <t xml:space="preserve">Cadena</t>
  </si>
  <si>
    <t xml:space="preserve">modamod:molde_correa_cadena</t>
  </si>
  <si>
    <t xml:space="preserve">Cadena fina</t>
  </si>
  <si>
    <t xml:space="preserve">modamod:molde_correa_cadena_fina</t>
  </si>
  <si>
    <t xml:space="preserve">Cordón</t>
  </si>
  <si>
    <t xml:space="preserve">modamod:molde_correa_cordon</t>
  </si>
  <si>
    <t xml:space="preserve">Ojalillos</t>
  </si>
  <si>
    <t xml:space="preserve">modamod:molde_correa_ojalillos</t>
  </si>
  <si>
    <t xml:space="preserve">Ingredientes (para los desplegables)</t>
  </si>
  <si>
    <t xml:space="preserve">Nombre</t>
  </si>
  <si>
    <t xml:space="preserve">Prendas</t>
  </si>
  <si>
    <t xml:space="preserve">Pantalón</t>
  </si>
  <si>
    <t xml:space="preserve">Medias</t>
  </si>
  <si>
    <t xml:space="preserve">Calientabrazos</t>
  </si>
  <si>
    <t xml:space="preserve">Alga marina</t>
  </si>
  <si>
    <t xml:space="preserve">Tinte azul</t>
  </si>
  <si>
    <t xml:space="preserve">Panal</t>
  </si>
  <si>
    <t xml:space="preserve">Membrana de phantom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</si>
</sst>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7F7F7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  <col collapsed="false" customWidth="true" hidden="false" outlineLevel="0" max="4" min="3" style="0" width="18"/>
  </cols>
  <sheetData>
    <row r="1" customFormat="false" ht="16.1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3" t="s">
        <v>2</v>
      </c>
    </row>
    <row r="4" customFormat="false" ht="45" hidden="false" customHeight="true" outlineLevel="0" collapsed="false">
      <c r="A4" s="2" t="s">
        <v>3</v>
      </c>
      <c r="B4" s="3" t="s">
        <v>4</v>
      </c>
    </row>
    <row r="5" customFormat="false" ht="45" hidden="false" customHeight="true" outlineLevel="0" collapsed="false">
      <c r="A5" s="2" t="s">
        <v>5</v>
      </c>
      <c r="B5" s="3" t="s">
        <v>6</v>
      </c>
    </row>
    <row r="6" customFormat="false" ht="45" hidden="false" customHeight="true" outlineLevel="0" collapsed="false">
      <c r="A6" s="2" t="s">
        <v>7</v>
      </c>
      <c r="B6" s="3" t="s">
        <v>8</v>
      </c>
    </row>
    <row r="7" customFormat="false" ht="45" hidden="false" customHeight="true" outlineLevel="0" collapsed="false">
      <c r="A7" s="2" t="s">
        <v>9</v>
      </c>
      <c r="B7" s="3" t="s">
        <v>10</v>
      </c>
    </row>
    <row r="8" customFormat="false" ht="45" hidden="false" customHeight="true" outlineLevel="0" collapsed="false">
      <c r="A8" s="2" t="s">
        <v>11</v>
      </c>
      <c r="B8" s="3" t="s">
        <v>12</v>
      </c>
    </row>
    <row r="9" customFormat="false" ht="45" hidden="false" customHeight="true" outlineLevel="0" collapsed="false">
      <c r="A9" s="2" t="s">
        <v>13</v>
      </c>
      <c r="B9" s="3" t="s">
        <v>14</v>
      </c>
    </row>
    <row r="10" customFormat="false" ht="45" hidden="false" customHeight="true" outlineLevel="0" collapsed="false">
      <c r="A10" s="2" t="s">
        <v>15</v>
      </c>
      <c r="B10" s="3" t="s">
        <v>16</v>
      </c>
    </row>
    <row r="11" customFormat="false" ht="45" hidden="false" customHeight="true" outlineLevel="0" collapsed="false">
      <c r="A11" s="2" t="s">
        <v>17</v>
      </c>
      <c r="B11" s="3" t="s">
        <v>18</v>
      </c>
    </row>
    <row r="13" customFormat="false" ht="15" hidden="false" customHeight="false" outlineLevel="0" collapsed="false">
      <c r="A13" s="2" t="s">
        <v>19</v>
      </c>
    </row>
    <row r="14" customFormat="false" ht="15" hidden="false" customHeight="false" outlineLevel="0" collapsed="false">
      <c r="A14" s="4" t="s">
        <v>20</v>
      </c>
      <c r="B14" s="4" t="s">
        <v>21</v>
      </c>
      <c r="C14" s="4" t="s">
        <v>22</v>
      </c>
      <c r="D14" s="4" t="s">
        <v>23</v>
      </c>
    </row>
    <row r="15" customFormat="false" ht="15" hidden="false" customHeight="false" outlineLevel="0" collapsed="false">
      <c r="A15" s="2" t="s">
        <v>24</v>
      </c>
      <c r="B15" s="5" t="s">
        <v>25</v>
      </c>
      <c r="C15" s="5" t="s">
        <v>26</v>
      </c>
      <c r="D15" s="5" t="s">
        <v>27</v>
      </c>
    </row>
    <row r="16" customFormat="false" ht="15" hidden="false" customHeight="false" outlineLevel="0" collapsed="false">
      <c r="A16" s="2" t="s">
        <v>28</v>
      </c>
      <c r="B16" s="5" t="s">
        <v>29</v>
      </c>
      <c r="C16" s="5" t="s">
        <v>30</v>
      </c>
      <c r="D16" s="5" t="s">
        <v>27</v>
      </c>
    </row>
    <row r="17" customFormat="false" ht="15" hidden="false" customHeight="false" outlineLevel="0" collapsed="false">
      <c r="A17" s="2" t="s">
        <v>31</v>
      </c>
      <c r="B17" s="5" t="s">
        <v>29</v>
      </c>
      <c r="C17" s="5" t="s">
        <v>26</v>
      </c>
      <c r="D17" s="5" t="s">
        <v>32</v>
      </c>
    </row>
    <row r="18" customFormat="false" ht="15" hidden="false" customHeight="false" outlineLevel="0" collapsed="false">
      <c r="A18" s="2" t="s">
        <v>33</v>
      </c>
      <c r="B18" s="5" t="s">
        <v>29</v>
      </c>
      <c r="C18" s="5" t="s">
        <v>30</v>
      </c>
      <c r="D18" s="5" t="s">
        <v>32</v>
      </c>
    </row>
    <row r="19" customFormat="false" ht="15" hidden="false" customHeight="false" outlineLevel="0" collapsed="false">
      <c r="A19" s="2" t="s">
        <v>34</v>
      </c>
      <c r="B19" s="5" t="s">
        <v>25</v>
      </c>
      <c r="C19" s="5" t="s">
        <v>26</v>
      </c>
      <c r="D19" s="5" t="s">
        <v>32</v>
      </c>
    </row>
    <row r="20" customFormat="false" ht="15" hidden="false" customHeight="false" outlineLevel="0" collapsed="false">
      <c r="A20" s="2" t="s">
        <v>35</v>
      </c>
      <c r="B20" s="5" t="s">
        <v>36</v>
      </c>
      <c r="C20" s="5" t="s">
        <v>30</v>
      </c>
      <c r="D20" s="5" t="s">
        <v>27</v>
      </c>
    </row>
    <row r="21" customFormat="false" ht="15" hidden="false" customHeight="false" outlineLevel="0" collapsed="false">
      <c r="A21" s="2" t="s">
        <v>37</v>
      </c>
      <c r="B21" s="5" t="s">
        <v>25</v>
      </c>
      <c r="C21" s="5" t="s">
        <v>30</v>
      </c>
      <c r="D21" s="5" t="s">
        <v>32</v>
      </c>
    </row>
    <row r="22" customFormat="false" ht="15" hidden="false" customHeight="false" outlineLevel="0" collapsed="false">
      <c r="A22" s="2" t="s">
        <v>38</v>
      </c>
      <c r="B22" s="5" t="s">
        <v>39</v>
      </c>
      <c r="C22" s="5" t="s">
        <v>26</v>
      </c>
      <c r="D22" s="5" t="s">
        <v>40</v>
      </c>
    </row>
    <row r="23" customFormat="false" ht="15" hidden="false" customHeight="false" outlineLevel="0" collapsed="false">
      <c r="A23" s="2" t="s">
        <v>41</v>
      </c>
      <c r="B23" s="5" t="s">
        <v>42</v>
      </c>
      <c r="C23" s="5" t="s">
        <v>26</v>
      </c>
      <c r="D23" s="5" t="s">
        <v>40</v>
      </c>
    </row>
    <row r="24" customFormat="false" ht="15" hidden="false" customHeight="false" outlineLevel="0" collapsed="false">
      <c r="A24" s="2" t="s">
        <v>43</v>
      </c>
      <c r="B24" s="5" t="s">
        <v>39</v>
      </c>
      <c r="C24" s="5" t="s">
        <v>44</v>
      </c>
      <c r="D24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9" min="9" style="0" width="20"/>
  </cols>
  <sheetData>
    <row r="1" customFormat="false" ht="16.15" hidden="false" customHeight="false" outlineLevel="0" collapsed="false">
      <c r="A1" s="1" t="s">
        <v>45</v>
      </c>
    </row>
    <row r="2" customFormat="false" ht="15" hidden="false" customHeight="false" outlineLevel="0" collapsed="false">
      <c r="A2" s="6" t="s">
        <v>46</v>
      </c>
    </row>
    <row r="4" customFormat="false" ht="23.85" hidden="false" customHeight="false" outlineLevel="0" collapsed="false">
      <c r="A4" s="7" t="s">
        <v>47</v>
      </c>
      <c r="B4" s="7" t="s">
        <v>48</v>
      </c>
      <c r="C4" s="7" t="s">
        <v>49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  <c r="I4" s="7" t="s">
        <v>55</v>
      </c>
    </row>
    <row r="5" customFormat="false" ht="15" hidden="false" customHeight="false" outlineLevel="0" collapsed="false">
      <c r="A5" s="5" t="s">
        <v>56</v>
      </c>
      <c r="B5" s="5" t="s">
        <v>57</v>
      </c>
      <c r="C5" s="8" t="s">
        <v>58</v>
      </c>
      <c r="D5" s="9" t="s">
        <v>59</v>
      </c>
      <c r="E5" s="9" t="s">
        <v>60</v>
      </c>
      <c r="F5" s="10" t="n">
        <v>1</v>
      </c>
      <c r="G5" s="11" t="n">
        <f aca="false">3+F5</f>
        <v>4</v>
      </c>
      <c r="H5" s="11" t="str">
        <f aca="false">IF(COUNTIFS($D$5:$D$60,D5,$E$5:$E$60,E5,$F$5:$F$60,F5)&gt;1,"REPETIDA",IF(G5&gt;9,"¡más de 9!","ok"))</f>
        <v>ok</v>
      </c>
      <c r="I5" s="5"/>
    </row>
    <row r="6" customFormat="false" ht="15" hidden="false" customHeight="false" outlineLevel="0" collapsed="false">
      <c r="A6" s="5" t="s">
        <v>56</v>
      </c>
      <c r="B6" s="5" t="s">
        <v>61</v>
      </c>
      <c r="C6" s="8" t="s">
        <v>62</v>
      </c>
      <c r="D6" s="9" t="s">
        <v>59</v>
      </c>
      <c r="E6" s="9" t="s">
        <v>63</v>
      </c>
      <c r="F6" s="10" t="n">
        <v>1</v>
      </c>
      <c r="G6" s="11" t="n">
        <f aca="false">3+F6</f>
        <v>4</v>
      </c>
      <c r="H6" s="11" t="str">
        <f aca="false">IF(COUNTIFS($D$5:$D$60,D6,$E$5:$E$60,E6,$F$5:$F$60,F6)&gt;1,"REPETIDA",IF(G6&gt;9,"¡más de 9!","ok"))</f>
        <v>ok</v>
      </c>
      <c r="I6" s="5" t="s">
        <v>64</v>
      </c>
    </row>
    <row r="7" customFormat="false" ht="15" hidden="false" customHeight="false" outlineLevel="0" collapsed="false">
      <c r="A7" s="5" t="s">
        <v>56</v>
      </c>
      <c r="B7" s="5" t="s">
        <v>65</v>
      </c>
      <c r="C7" s="8" t="s">
        <v>66</v>
      </c>
      <c r="D7" s="9" t="s">
        <v>59</v>
      </c>
      <c r="E7" s="9" t="s">
        <v>67</v>
      </c>
      <c r="F7" s="10" t="n">
        <v>1</v>
      </c>
      <c r="G7" s="11" t="n">
        <f aca="false">3+F7</f>
        <v>4</v>
      </c>
      <c r="H7" s="11" t="str">
        <f aca="false">IF(COUNTIFS($D$5:$D$60,D7,$E$5:$E$60,E7,$F$5:$F$60,F7)&gt;1,"REPETIDA",IF(G7&gt;9,"¡más de 9!","ok"))</f>
        <v>ok</v>
      </c>
      <c r="I7" s="5" t="s">
        <v>68</v>
      </c>
    </row>
    <row r="8" customFormat="false" ht="15" hidden="false" customHeight="false" outlineLevel="0" collapsed="false">
      <c r="A8" s="5" t="s">
        <v>56</v>
      </c>
      <c r="B8" s="5" t="s">
        <v>69</v>
      </c>
      <c r="C8" s="8" t="s">
        <v>70</v>
      </c>
      <c r="D8" s="9" t="s">
        <v>59</v>
      </c>
      <c r="E8" s="9" t="s">
        <v>71</v>
      </c>
      <c r="F8" s="10" t="n">
        <v>1</v>
      </c>
      <c r="G8" s="11" t="n">
        <f aca="false">3+F8</f>
        <v>4</v>
      </c>
      <c r="H8" s="11" t="str">
        <f aca="false">IF(COUNTIFS($D$5:$D$60,D8,$E$5:$E$60,E8,$F$5:$F$60,F8)&gt;1,"REPETIDA",IF(G8&gt;9,"¡más de 9!","ok"))</f>
        <v>ok</v>
      </c>
      <c r="I8" s="5"/>
    </row>
    <row r="9" customFormat="false" ht="15" hidden="false" customHeight="false" outlineLevel="0" collapsed="false">
      <c r="A9" s="5" t="s">
        <v>56</v>
      </c>
      <c r="B9" s="5" t="s">
        <v>72</v>
      </c>
      <c r="C9" s="8" t="s">
        <v>73</v>
      </c>
      <c r="D9" s="9" t="s">
        <v>59</v>
      </c>
      <c r="E9" s="9" t="s">
        <v>74</v>
      </c>
      <c r="F9" s="10" t="n">
        <v>1</v>
      </c>
      <c r="G9" s="11" t="n">
        <f aca="false">3+F9</f>
        <v>4</v>
      </c>
      <c r="H9" s="11" t="str">
        <f aca="false">IF(COUNTIFS($D$5:$D$60,D9,$E$5:$E$60,E9,$F$5:$F$60,F9)&gt;1,"REPETIDA",IF(G9&gt;9,"¡más de 9!","ok"))</f>
        <v>ok</v>
      </c>
      <c r="I9" s="5"/>
    </row>
    <row r="10" customFormat="false" ht="15" hidden="false" customHeight="false" outlineLevel="0" collapsed="false">
      <c r="A10" s="5" t="s">
        <v>56</v>
      </c>
      <c r="B10" s="5" t="s">
        <v>75</v>
      </c>
      <c r="C10" s="8" t="s">
        <v>76</v>
      </c>
      <c r="D10" s="9" t="s">
        <v>59</v>
      </c>
      <c r="E10" s="9" t="s">
        <v>77</v>
      </c>
      <c r="F10" s="10" t="n">
        <v>1</v>
      </c>
      <c r="G10" s="11" t="n">
        <f aca="false">3+F10</f>
        <v>4</v>
      </c>
      <c r="H10" s="11" t="str">
        <f aca="false">IF(COUNTIFS($D$5:$D$60,D10,$E$5:$E$60,E10,$F$5:$F$60,F10)&gt;1,"REPETIDA",IF(G10&gt;9,"¡más de 9!","ok"))</f>
        <v>ok</v>
      </c>
      <c r="I10" s="5" t="s">
        <v>78</v>
      </c>
    </row>
    <row r="11" customFormat="false" ht="15" hidden="false" customHeight="false" outlineLevel="0" collapsed="false">
      <c r="A11" s="5" t="s">
        <v>59</v>
      </c>
      <c r="B11" s="5" t="s">
        <v>79</v>
      </c>
      <c r="C11" s="8" t="s">
        <v>80</v>
      </c>
      <c r="D11" s="9" t="s">
        <v>59</v>
      </c>
      <c r="E11" s="9" t="s">
        <v>81</v>
      </c>
      <c r="F11" s="10" t="n">
        <v>1</v>
      </c>
      <c r="G11" s="11" t="n">
        <f aca="false">3+F11</f>
        <v>4</v>
      </c>
      <c r="H11" s="11" t="str">
        <f aca="false">IF(COUNTIFS($D$5:$D$60,D11,$E$5:$E$60,E11,$F$5:$F$60,F11)&gt;1,"REPETIDA",IF(G11&gt;9,"¡más de 9!","ok"))</f>
        <v>ok</v>
      </c>
      <c r="I11" s="5"/>
    </row>
    <row r="12" customFormat="false" ht="15" hidden="false" customHeight="false" outlineLevel="0" collapsed="false">
      <c r="A12" s="5" t="s">
        <v>59</v>
      </c>
      <c r="B12" s="5" t="s">
        <v>82</v>
      </c>
      <c r="C12" s="8" t="s">
        <v>83</v>
      </c>
      <c r="D12" s="9" t="s">
        <v>59</v>
      </c>
      <c r="E12" s="9" t="s">
        <v>81</v>
      </c>
      <c r="F12" s="10" t="n">
        <v>2</v>
      </c>
      <c r="G12" s="11" t="n">
        <f aca="false">3+F12</f>
        <v>5</v>
      </c>
      <c r="H12" s="11" t="str">
        <f aca="false">IF(COUNTIFS($D$5:$D$60,D12,$E$5:$E$60,E12,$F$5:$F$60,F12)&gt;1,"REPETIDA",IF(G12&gt;9,"¡más de 9!","ok"))</f>
        <v>ok</v>
      </c>
      <c r="I12" s="5"/>
    </row>
    <row r="13" customFormat="false" ht="15" hidden="false" customHeight="false" outlineLevel="0" collapsed="false">
      <c r="A13" s="5" t="s">
        <v>59</v>
      </c>
      <c r="B13" s="5" t="s">
        <v>84</v>
      </c>
      <c r="C13" s="8" t="s">
        <v>85</v>
      </c>
      <c r="D13" s="9" t="s">
        <v>59</v>
      </c>
      <c r="E13" s="9" t="s">
        <v>81</v>
      </c>
      <c r="F13" s="10" t="n">
        <v>3</v>
      </c>
      <c r="G13" s="11" t="n">
        <f aca="false">3+F13</f>
        <v>6</v>
      </c>
      <c r="H13" s="11" t="str">
        <f aca="false">IF(COUNTIFS($D$5:$D$60,D13,$E$5:$E$60,E13,$F$5:$F$60,F13)&gt;1,"REPETIDA",IF(G13&gt;9,"¡más de 9!","ok"))</f>
        <v>ok</v>
      </c>
      <c r="I13" s="5"/>
    </row>
    <row r="14" customFormat="false" ht="15" hidden="false" customHeight="false" outlineLevel="0" collapsed="false">
      <c r="A14" s="5" t="s">
        <v>59</v>
      </c>
      <c r="B14" s="5" t="s">
        <v>86</v>
      </c>
      <c r="C14" s="8" t="s">
        <v>87</v>
      </c>
      <c r="D14" s="9" t="s">
        <v>59</v>
      </c>
      <c r="E14" s="9" t="s">
        <v>88</v>
      </c>
      <c r="F14" s="10" t="n">
        <v>1</v>
      </c>
      <c r="G14" s="11" t="n">
        <f aca="false">3+F14</f>
        <v>4</v>
      </c>
      <c r="H14" s="11" t="str">
        <f aca="false">IF(COUNTIFS($D$5:$D$60,D14,$E$5:$E$60,E14,$F$5:$F$60,F14)&gt;1,"REPETIDA",IF(G14&gt;9,"¡más de 9!","ok"))</f>
        <v>ok</v>
      </c>
      <c r="I14" s="5"/>
    </row>
    <row r="15" customFormat="false" ht="15" hidden="false" customHeight="false" outlineLevel="0" collapsed="false">
      <c r="A15" s="5" t="s">
        <v>59</v>
      </c>
      <c r="B15" s="5" t="s">
        <v>89</v>
      </c>
      <c r="C15" s="8" t="s">
        <v>90</v>
      </c>
      <c r="D15" s="9" t="s">
        <v>59</v>
      </c>
      <c r="E15" s="9" t="s">
        <v>91</v>
      </c>
      <c r="F15" s="10" t="n">
        <v>1</v>
      </c>
      <c r="G15" s="11" t="n">
        <f aca="false">3+F15</f>
        <v>4</v>
      </c>
      <c r="H15" s="11" t="str">
        <f aca="false">IF(COUNTIFS($D$5:$D$60,D15,$E$5:$E$60,E15,$F$5:$F$60,F15)&gt;1,"REPETIDA",IF(G15&gt;9,"¡más de 9!","ok"))</f>
        <v>ok</v>
      </c>
      <c r="I15" s="5"/>
    </row>
    <row r="16" customFormat="false" ht="15" hidden="false" customHeight="false" outlineLevel="0" collapsed="false">
      <c r="A16" s="5" t="s">
        <v>59</v>
      </c>
      <c r="B16" s="5" t="s">
        <v>92</v>
      </c>
      <c r="C16" s="8" t="s">
        <v>93</v>
      </c>
      <c r="D16" s="9" t="s">
        <v>59</v>
      </c>
      <c r="E16" s="9" t="s">
        <v>94</v>
      </c>
      <c r="F16" s="10" t="n">
        <v>1</v>
      </c>
      <c r="G16" s="11" t="n">
        <f aca="false">3+F16</f>
        <v>4</v>
      </c>
      <c r="H16" s="11" t="str">
        <f aca="false">IF(COUNTIFS($D$5:$D$60,D16,$E$5:$E$60,E16,$F$5:$F$60,F16)&gt;1,"REPETIDA",IF(G16&gt;9,"¡más de 9!","ok"))</f>
        <v>ok</v>
      </c>
      <c r="I16" s="5"/>
    </row>
    <row r="17" customFormat="false" ht="15" hidden="false" customHeight="false" outlineLevel="0" collapsed="false">
      <c r="A17" s="5" t="s">
        <v>59</v>
      </c>
      <c r="B17" s="5" t="s">
        <v>95</v>
      </c>
      <c r="C17" s="8" t="s">
        <v>96</v>
      </c>
      <c r="D17" s="9" t="s">
        <v>59</v>
      </c>
      <c r="E17" s="9" t="s">
        <v>97</v>
      </c>
      <c r="F17" s="10" t="n">
        <v>1</v>
      </c>
      <c r="G17" s="11" t="n">
        <f aca="false">3+F17</f>
        <v>4</v>
      </c>
      <c r="H17" s="11" t="str">
        <f aca="false">IF(COUNTIFS($D$5:$D$60,D17,$E$5:$E$60,E17,$F$5:$F$60,F17)&gt;1,"REPETIDA",IF(G17&gt;9,"¡más de 9!","ok"))</f>
        <v>ok</v>
      </c>
      <c r="I17" s="5"/>
    </row>
    <row r="18" customFormat="false" ht="15" hidden="false" customHeight="false" outlineLevel="0" collapsed="false">
      <c r="A18" s="5" t="s">
        <v>98</v>
      </c>
      <c r="B18" s="5" t="s">
        <v>99</v>
      </c>
      <c r="C18" s="8" t="s">
        <v>100</v>
      </c>
      <c r="D18" s="9" t="s">
        <v>98</v>
      </c>
      <c r="E18" s="9" t="s">
        <v>101</v>
      </c>
      <c r="F18" s="10" t="n">
        <v>1</v>
      </c>
      <c r="G18" s="11" t="n">
        <f aca="false">3+F18</f>
        <v>4</v>
      </c>
      <c r="H18" s="11" t="str">
        <f aca="false">IF(COUNTIFS($D$5:$D$60,D18,$E$5:$E$60,E18,$F$5:$F$60,F18)&gt;1,"REPETIDA",IF(G18&gt;9,"¡más de 9!","ok"))</f>
        <v>ok</v>
      </c>
      <c r="I18" s="5" t="s">
        <v>102</v>
      </c>
    </row>
    <row r="19" customFormat="false" ht="15" hidden="false" customHeight="false" outlineLevel="0" collapsed="false">
      <c r="A19" s="5" t="s">
        <v>98</v>
      </c>
      <c r="B19" s="5" t="s">
        <v>103</v>
      </c>
      <c r="C19" s="8" t="s">
        <v>104</v>
      </c>
      <c r="D19" s="9" t="s">
        <v>98</v>
      </c>
      <c r="E19" s="9" t="s">
        <v>105</v>
      </c>
      <c r="F19" s="10" t="n">
        <v>1</v>
      </c>
      <c r="G19" s="11" t="n">
        <f aca="false">3+F19</f>
        <v>4</v>
      </c>
      <c r="H19" s="11" t="str">
        <f aca="false">IF(COUNTIFS($D$5:$D$60,D19,$E$5:$E$60,E19,$F$5:$F$60,F19)&gt;1,"REPETIDA",IF(G19&gt;9,"¡más de 9!","ok"))</f>
        <v>ok</v>
      </c>
      <c r="I19" s="5"/>
    </row>
    <row r="20" customFormat="false" ht="15" hidden="false" customHeight="false" outlineLevel="0" collapsed="false">
      <c r="A20" s="5" t="s">
        <v>98</v>
      </c>
      <c r="B20" s="5" t="s">
        <v>106</v>
      </c>
      <c r="C20" s="8" t="s">
        <v>107</v>
      </c>
      <c r="D20" s="9" t="s">
        <v>98</v>
      </c>
      <c r="E20" s="9" t="s">
        <v>108</v>
      </c>
      <c r="F20" s="10" t="n">
        <v>1</v>
      </c>
      <c r="G20" s="11" t="n">
        <f aca="false">3+F20</f>
        <v>4</v>
      </c>
      <c r="H20" s="11" t="str">
        <f aca="false">IF(COUNTIFS($D$5:$D$60,D20,$E$5:$E$60,E20,$F$5:$F$60,F20)&gt;1,"REPETIDA",IF(G20&gt;9,"¡más de 9!","ok"))</f>
        <v>ok</v>
      </c>
      <c r="I20" s="5"/>
    </row>
    <row r="21" customFormat="false" ht="15" hidden="false" customHeight="false" outlineLevel="0" collapsed="false">
      <c r="A21" s="5" t="s">
        <v>98</v>
      </c>
      <c r="B21" s="5" t="s">
        <v>109</v>
      </c>
      <c r="C21" s="8" t="s">
        <v>110</v>
      </c>
      <c r="D21" s="9" t="s">
        <v>98</v>
      </c>
      <c r="E21" s="9" t="s">
        <v>94</v>
      </c>
      <c r="F21" s="10" t="n">
        <v>1</v>
      </c>
      <c r="G21" s="11" t="n">
        <f aca="false">3+F21</f>
        <v>4</v>
      </c>
      <c r="H21" s="11" t="str">
        <f aca="false">IF(COUNTIFS($D$5:$D$60,D21,$E$5:$E$60,E21,$F$5:$F$60,F21)&gt;1,"REPETIDA",IF(G21&gt;9,"¡más de 9!","ok"))</f>
        <v>ok</v>
      </c>
      <c r="I21" s="5"/>
    </row>
    <row r="22" customFormat="false" ht="15" hidden="false" customHeight="false" outlineLevel="0" collapsed="false">
      <c r="A22" s="5" t="s">
        <v>111</v>
      </c>
      <c r="B22" s="5" t="s">
        <v>112</v>
      </c>
      <c r="C22" s="8" t="s">
        <v>113</v>
      </c>
      <c r="D22" s="9" t="s">
        <v>111</v>
      </c>
      <c r="E22" s="9" t="s">
        <v>101</v>
      </c>
      <c r="F22" s="10" t="n">
        <v>1</v>
      </c>
      <c r="G22" s="11" t="n">
        <f aca="false">3+F22</f>
        <v>4</v>
      </c>
      <c r="H22" s="11" t="str">
        <f aca="false">IF(COUNTIFS($D$5:$D$60,D22,$E$5:$E$60,E22,$F$5:$F$60,F22)&gt;1,"REPETIDA",IF(G22&gt;9,"¡más de 9!","ok"))</f>
        <v>ok</v>
      </c>
      <c r="I22" s="5"/>
    </row>
    <row r="23" customFormat="false" ht="15" hidden="false" customHeight="false" outlineLevel="0" collapsed="false">
      <c r="A23" s="5" t="s">
        <v>111</v>
      </c>
      <c r="B23" s="5" t="s">
        <v>114</v>
      </c>
      <c r="C23" s="8" t="s">
        <v>115</v>
      </c>
      <c r="D23" s="9" t="s">
        <v>111</v>
      </c>
      <c r="E23" s="9" t="s">
        <v>116</v>
      </c>
      <c r="F23" s="10" t="n">
        <v>1</v>
      </c>
      <c r="G23" s="11" t="n">
        <f aca="false">3+F23</f>
        <v>4</v>
      </c>
      <c r="H23" s="11" t="str">
        <f aca="false">IF(COUNTIFS($D$5:$D$60,D23,$E$5:$E$60,E23,$F$5:$F$60,F23)&gt;1,"REPETIDA",IF(G23&gt;9,"¡más de 9!","ok"))</f>
        <v>ok</v>
      </c>
      <c r="I23" s="5"/>
    </row>
    <row r="24" customFormat="false" ht="15" hidden="false" customHeight="false" outlineLevel="0" collapsed="false">
      <c r="A24" s="5" t="s">
        <v>111</v>
      </c>
      <c r="B24" s="5" t="s">
        <v>117</v>
      </c>
      <c r="C24" s="8" t="s">
        <v>118</v>
      </c>
      <c r="D24" s="9" t="s">
        <v>111</v>
      </c>
      <c r="E24" s="9" t="s">
        <v>74</v>
      </c>
      <c r="F24" s="10" t="n">
        <v>1</v>
      </c>
      <c r="G24" s="11" t="n">
        <f aca="false">3+F24</f>
        <v>4</v>
      </c>
      <c r="H24" s="11" t="str">
        <f aca="false">IF(COUNTIFS($D$5:$D$60,D24,$E$5:$E$60,E24,$F$5:$F$60,F24)&gt;1,"REPETIDA",IF(G24&gt;9,"¡más de 9!","ok"))</f>
        <v>ok</v>
      </c>
      <c r="I24" s="5"/>
    </row>
    <row r="25" customFormat="false" ht="15" hidden="false" customHeight="false" outlineLevel="0" collapsed="false">
      <c r="A25" s="5" t="s">
        <v>111</v>
      </c>
      <c r="B25" s="5" t="s">
        <v>119</v>
      </c>
      <c r="C25" s="8" t="s">
        <v>120</v>
      </c>
      <c r="D25" s="9" t="s">
        <v>111</v>
      </c>
      <c r="E25" s="9" t="s">
        <v>121</v>
      </c>
      <c r="F25" s="10" t="n">
        <v>1</v>
      </c>
      <c r="G25" s="11" t="n">
        <f aca="false">3+F25</f>
        <v>4</v>
      </c>
      <c r="H25" s="11" t="str">
        <f aca="false">IF(COUNTIFS($D$5:$D$60,D25,$E$5:$E$60,E25,$F$5:$F$60,F25)&gt;1,"REPETIDA",IF(G25&gt;9,"¡más de 9!","ok"))</f>
        <v>ok</v>
      </c>
      <c r="I25" s="5"/>
    </row>
    <row r="26" customFormat="false" ht="15" hidden="false" customHeight="false" outlineLevel="0" collapsed="false">
      <c r="A26" s="5" t="s">
        <v>111</v>
      </c>
      <c r="B26" s="5" t="s">
        <v>122</v>
      </c>
      <c r="C26" s="8" t="s">
        <v>123</v>
      </c>
      <c r="D26" s="9" t="s">
        <v>111</v>
      </c>
      <c r="E26" s="9" t="s">
        <v>97</v>
      </c>
      <c r="F26" s="10" t="n">
        <v>1</v>
      </c>
      <c r="G26" s="11" t="n">
        <f aca="false">3+F26</f>
        <v>4</v>
      </c>
      <c r="H26" s="11" t="str">
        <f aca="false">IF(COUNTIFS($D$5:$D$60,D26,$E$5:$E$60,E26,$F$5:$F$60,F26)&gt;1,"REPETIDA",IF(G26&gt;9,"¡más de 9!","ok"))</f>
        <v>ok</v>
      </c>
      <c r="I26" s="5"/>
    </row>
    <row r="27" customFormat="false" ht="15" hidden="false" customHeight="false" outlineLevel="0" collapsed="false">
      <c r="A27" s="5" t="s">
        <v>111</v>
      </c>
      <c r="B27" s="5" t="s">
        <v>124</v>
      </c>
      <c r="C27" s="8" t="s">
        <v>125</v>
      </c>
      <c r="D27" s="9" t="s">
        <v>111</v>
      </c>
      <c r="E27" s="9" t="s">
        <v>97</v>
      </c>
      <c r="F27" s="10" t="n">
        <v>2</v>
      </c>
      <c r="G27" s="11" t="n">
        <f aca="false">3+F27</f>
        <v>5</v>
      </c>
      <c r="H27" s="11" t="str">
        <f aca="false">IF(COUNTIFS($D$5:$D$60,D27,$E$5:$E$60,E27,$F$5:$F$60,F27)&gt;1,"REPETIDA",IF(G27&gt;9,"¡más de 9!","ok"))</f>
        <v>ok</v>
      </c>
      <c r="I27" s="5"/>
    </row>
    <row r="28" customFormat="false" ht="15" hidden="false" customHeight="false" outlineLevel="0" collapsed="false">
      <c r="A28" s="5" t="s">
        <v>111</v>
      </c>
      <c r="B28" s="5" t="s">
        <v>126</v>
      </c>
      <c r="C28" s="8" t="s">
        <v>127</v>
      </c>
      <c r="D28" s="9" t="s">
        <v>111</v>
      </c>
      <c r="E28" s="9" t="s">
        <v>88</v>
      </c>
      <c r="F28" s="10" t="n">
        <v>1</v>
      </c>
      <c r="G28" s="11" t="n">
        <f aca="false">3+F28</f>
        <v>4</v>
      </c>
      <c r="H28" s="11" t="str">
        <f aca="false">IF(COUNTIFS($D$5:$D$60,D28,$E$5:$E$60,E28,$F$5:$F$60,F28)&gt;1,"REPETIDA",IF(G28&gt;9,"¡más de 9!","ok"))</f>
        <v>ok</v>
      </c>
      <c r="I28" s="5"/>
    </row>
    <row r="29" customFormat="false" ht="15" hidden="false" customHeight="false" outlineLevel="0" collapsed="false">
      <c r="A29" s="5" t="s">
        <v>111</v>
      </c>
      <c r="B29" s="5" t="s">
        <v>128</v>
      </c>
      <c r="C29" s="8" t="s">
        <v>129</v>
      </c>
      <c r="D29" s="9" t="s">
        <v>111</v>
      </c>
      <c r="E29" s="9" t="s">
        <v>88</v>
      </c>
      <c r="F29" s="10" t="n">
        <v>2</v>
      </c>
      <c r="G29" s="11" t="n">
        <f aca="false">3+F29</f>
        <v>5</v>
      </c>
      <c r="H29" s="11" t="str">
        <f aca="false">IF(COUNTIFS($D$5:$D$60,D29,$E$5:$E$60,E29,$F$5:$F$60,F29)&gt;1,"REPETIDA",IF(G29&gt;9,"¡más de 9!","ok"))</f>
        <v>ok</v>
      </c>
      <c r="I29" s="5"/>
    </row>
    <row r="30" customFormat="false" ht="15" hidden="false" customHeight="false" outlineLevel="0" collapsed="false">
      <c r="A30" s="5" t="s">
        <v>130</v>
      </c>
      <c r="B30" s="5" t="s">
        <v>86</v>
      </c>
      <c r="C30" s="8" t="s">
        <v>131</v>
      </c>
      <c r="D30" s="9" t="s">
        <v>130</v>
      </c>
      <c r="E30" s="9" t="s">
        <v>88</v>
      </c>
      <c r="F30" s="10" t="n">
        <v>1</v>
      </c>
      <c r="G30" s="11" t="n">
        <f aca="false">3+F30</f>
        <v>4</v>
      </c>
      <c r="H30" s="11" t="str">
        <f aca="false">IF(COUNTIFS($D$5:$D$60,D30,$E$5:$E$60,E30,$F$5:$F$60,F30)&gt;1,"REPETIDA",IF(G30&gt;9,"¡más de 9!","ok"))</f>
        <v>ok</v>
      </c>
      <c r="I30" s="5"/>
    </row>
    <row r="31" customFormat="false" ht="15" hidden="false" customHeight="false" outlineLevel="0" collapsed="false">
      <c r="A31" s="5" t="s">
        <v>130</v>
      </c>
      <c r="B31" s="5" t="s">
        <v>132</v>
      </c>
      <c r="C31" s="8" t="s">
        <v>133</v>
      </c>
      <c r="D31" s="9" t="s">
        <v>130</v>
      </c>
      <c r="E31" s="9" t="s">
        <v>105</v>
      </c>
      <c r="F31" s="10" t="n">
        <v>1</v>
      </c>
      <c r="G31" s="11" t="n">
        <f aca="false">3+F31</f>
        <v>4</v>
      </c>
      <c r="H31" s="11" t="str">
        <f aca="false">IF(COUNTIFS($D$5:$D$60,D31,$E$5:$E$60,E31,$F$5:$F$60,F31)&gt;1,"REPETIDA",IF(G31&gt;9,"¡más de 9!","ok"))</f>
        <v>ok</v>
      </c>
      <c r="I31" s="5"/>
    </row>
    <row r="32" customFormat="false" ht="15" hidden="false" customHeight="false" outlineLevel="0" collapsed="false">
      <c r="A32" s="5" t="s">
        <v>130</v>
      </c>
      <c r="B32" s="5" t="s">
        <v>134</v>
      </c>
      <c r="C32" s="8" t="s">
        <v>135</v>
      </c>
      <c r="D32" s="9" t="s">
        <v>130</v>
      </c>
      <c r="E32" s="9" t="s">
        <v>97</v>
      </c>
      <c r="F32" s="10" t="n">
        <v>1</v>
      </c>
      <c r="G32" s="11" t="n">
        <f aca="false">3+F32</f>
        <v>4</v>
      </c>
      <c r="H32" s="11" t="str">
        <f aca="false">IF(COUNTIFS($D$5:$D$60,D32,$E$5:$E$60,E32,$F$5:$F$60,F32)&gt;1,"REPETIDA",IF(G32&gt;9,"¡más de 9!","ok"))</f>
        <v>ok</v>
      </c>
      <c r="I32" s="5"/>
    </row>
    <row r="33" customFormat="false" ht="15" hidden="false" customHeight="false" outlineLevel="0" collapsed="false">
      <c r="A33" s="5" t="s">
        <v>136</v>
      </c>
      <c r="B33" s="5" t="s">
        <v>137</v>
      </c>
      <c r="C33" s="8" t="s">
        <v>138</v>
      </c>
      <c r="D33" s="9" t="s">
        <v>136</v>
      </c>
      <c r="E33" s="9" t="s">
        <v>101</v>
      </c>
      <c r="F33" s="10" t="n">
        <v>1</v>
      </c>
      <c r="G33" s="11" t="n">
        <f aca="false">3+F33</f>
        <v>4</v>
      </c>
      <c r="H33" s="11" t="str">
        <f aca="false">IF(COUNTIFS($D$5:$D$60,D33,$E$5:$E$60,E33,$F$5:$F$60,F33)&gt;1,"REPETIDA",IF(G33&gt;9,"¡más de 9!","ok"))</f>
        <v>ok</v>
      </c>
      <c r="I33" s="5"/>
    </row>
    <row r="34" customFormat="false" ht="15" hidden="false" customHeight="false" outlineLevel="0" collapsed="false">
      <c r="A34" s="5" t="s">
        <v>136</v>
      </c>
      <c r="B34" s="5" t="s">
        <v>139</v>
      </c>
      <c r="C34" s="8" t="s">
        <v>140</v>
      </c>
      <c r="D34" s="9" t="s">
        <v>136</v>
      </c>
      <c r="E34" s="9" t="s">
        <v>97</v>
      </c>
      <c r="F34" s="10" t="n">
        <v>1</v>
      </c>
      <c r="G34" s="11" t="n">
        <f aca="false">3+F34</f>
        <v>4</v>
      </c>
      <c r="H34" s="11" t="str">
        <f aca="false">IF(COUNTIFS($D$5:$D$60,D34,$E$5:$E$60,E34,$F$5:$F$60,F34)&gt;1,"REPETIDA",IF(G34&gt;9,"¡más de 9!","ok"))</f>
        <v>ok</v>
      </c>
      <c r="I34" s="5"/>
    </row>
    <row r="35" customFormat="false" ht="15" hidden="false" customHeight="false" outlineLevel="0" collapsed="false">
      <c r="A35" s="5" t="s">
        <v>136</v>
      </c>
      <c r="B35" s="5" t="s">
        <v>141</v>
      </c>
      <c r="C35" s="8" t="s">
        <v>142</v>
      </c>
      <c r="D35" s="9" t="s">
        <v>136</v>
      </c>
      <c r="E35" s="9" t="s">
        <v>88</v>
      </c>
      <c r="F35" s="10" t="n">
        <v>1</v>
      </c>
      <c r="G35" s="11" t="n">
        <f aca="false">3+F35</f>
        <v>4</v>
      </c>
      <c r="H35" s="11" t="str">
        <f aca="false">IF(COUNTIFS($D$5:$D$60,D35,$E$5:$E$60,E35,$F$5:$F$60,F35)&gt;1,"REPETIDA",IF(G35&gt;9,"¡más de 9!","ok"))</f>
        <v>ok</v>
      </c>
      <c r="I35" s="5"/>
    </row>
    <row r="36" customFormat="false" ht="15" hidden="false" customHeight="false" outlineLevel="0" collapsed="false">
      <c r="A36" s="5" t="s">
        <v>136</v>
      </c>
      <c r="B36" s="5" t="s">
        <v>143</v>
      </c>
      <c r="C36" s="8" t="s">
        <v>144</v>
      </c>
      <c r="D36" s="9" t="s">
        <v>136</v>
      </c>
      <c r="E36" s="9" t="s">
        <v>105</v>
      </c>
      <c r="F36" s="10" t="n">
        <v>1</v>
      </c>
      <c r="G36" s="11" t="n">
        <f aca="false">3+F36</f>
        <v>4</v>
      </c>
      <c r="H36" s="11" t="str">
        <f aca="false">IF(COUNTIFS($D$5:$D$60,D36,$E$5:$E$60,E36,$F$5:$F$60,F36)&gt;1,"REPETIDA",IF(G36&gt;9,"¡más de 9!","ok"))</f>
        <v>ok</v>
      </c>
      <c r="I36" s="5"/>
    </row>
    <row r="37" customFormat="false" ht="15" hidden="false" customHeight="false" outlineLevel="0" collapsed="false">
      <c r="A37" s="5" t="s">
        <v>145</v>
      </c>
      <c r="B37" s="5" t="s">
        <v>146</v>
      </c>
      <c r="C37" s="8" t="s">
        <v>147</v>
      </c>
      <c r="D37" s="9" t="s">
        <v>148</v>
      </c>
      <c r="E37" s="9" t="s">
        <v>116</v>
      </c>
      <c r="F37" s="10" t="n">
        <v>1</v>
      </c>
      <c r="G37" s="11" t="n">
        <f aca="false">3+F37</f>
        <v>4</v>
      </c>
      <c r="H37" s="11" t="str">
        <f aca="false">IF(COUNTIFS($D$5:$D$60,D37,$E$5:$E$60,E37,$F$5:$F$60,F37)&gt;1,"REPETIDA",IF(G37&gt;9,"¡más de 9!","ok"))</f>
        <v>ok</v>
      </c>
      <c r="I37" s="5"/>
    </row>
    <row r="38" customFormat="false" ht="15" hidden="false" customHeight="false" outlineLevel="0" collapsed="false">
      <c r="A38" s="5" t="s">
        <v>145</v>
      </c>
      <c r="B38" s="5" t="s">
        <v>149</v>
      </c>
      <c r="C38" s="8" t="s">
        <v>150</v>
      </c>
      <c r="D38" s="9" t="s">
        <v>148</v>
      </c>
      <c r="E38" s="9" t="s">
        <v>97</v>
      </c>
      <c r="F38" s="10" t="n">
        <v>1</v>
      </c>
      <c r="G38" s="11" t="n">
        <f aca="false">3+F38</f>
        <v>4</v>
      </c>
      <c r="H38" s="11" t="str">
        <f aca="false">IF(COUNTIFS($D$5:$D$60,D38,$E$5:$E$60,E38,$F$5:$F$60,F38)&gt;1,"REPETIDA",IF(G38&gt;9,"¡más de 9!","ok"))</f>
        <v>ok</v>
      </c>
      <c r="I38" s="5"/>
    </row>
    <row r="39" customFormat="false" ht="15" hidden="false" customHeight="false" outlineLevel="0" collapsed="false">
      <c r="A39" s="5" t="s">
        <v>145</v>
      </c>
      <c r="B39" s="5" t="s">
        <v>151</v>
      </c>
      <c r="C39" s="8" t="s">
        <v>152</v>
      </c>
      <c r="D39" s="9" t="s">
        <v>148</v>
      </c>
      <c r="E39" s="9" t="s">
        <v>116</v>
      </c>
      <c r="F39" s="10" t="n">
        <v>2</v>
      </c>
      <c r="G39" s="11" t="n">
        <f aca="false">3+F39</f>
        <v>5</v>
      </c>
      <c r="H39" s="11" t="str">
        <f aca="false">IF(COUNTIFS($D$5:$D$60,D39,$E$5:$E$60,E39,$F$5:$F$60,F39)&gt;1,"REPETIDA",IF(G39&gt;9,"¡más de 9!","ok"))</f>
        <v>ok</v>
      </c>
      <c r="I39" s="5"/>
    </row>
    <row r="40" customFormat="false" ht="15" hidden="false" customHeight="false" outlineLevel="0" collapsed="false">
      <c r="A40" s="5" t="s">
        <v>145</v>
      </c>
      <c r="B40" s="5" t="s">
        <v>153</v>
      </c>
      <c r="C40" s="8" t="s">
        <v>154</v>
      </c>
      <c r="D40" s="9" t="s">
        <v>148</v>
      </c>
      <c r="E40" s="9" t="s">
        <v>116</v>
      </c>
      <c r="F40" s="10" t="n">
        <v>3</v>
      </c>
      <c r="G40" s="11" t="n">
        <f aca="false">3+F40</f>
        <v>6</v>
      </c>
      <c r="H40" s="11" t="str">
        <f aca="false">IF(COUNTIFS($D$5:$D$60,D40,$E$5:$E$60,E40,$F$5:$F$60,F40)&gt;1,"REPETIDA",IF(G40&gt;9,"¡más de 9!","ok"))</f>
        <v>ok</v>
      </c>
      <c r="I40" s="5"/>
    </row>
    <row r="41" customFormat="false" ht="15" hidden="false" customHeight="false" outlineLevel="0" collapsed="false">
      <c r="A41" s="5" t="s">
        <v>145</v>
      </c>
      <c r="B41" s="5" t="s">
        <v>155</v>
      </c>
      <c r="C41" s="8" t="s">
        <v>156</v>
      </c>
      <c r="D41" s="9" t="s">
        <v>148</v>
      </c>
      <c r="E41" s="9" t="s">
        <v>157</v>
      </c>
      <c r="F41" s="10" t="n">
        <v>1</v>
      </c>
      <c r="G41" s="11" t="n">
        <f aca="false">3+F41</f>
        <v>4</v>
      </c>
      <c r="H41" s="11" t="str">
        <f aca="false">IF(COUNTIFS($D$5:$D$60,D41,$E$5:$E$60,E41,$F$5:$F$60,F41)&gt;1,"REPETIDA",IF(G41&gt;9,"¡más de 9!","ok"))</f>
        <v>ok</v>
      </c>
      <c r="I41" s="5" t="s">
        <v>158</v>
      </c>
    </row>
    <row r="42" customFormat="false" ht="15" hidden="false" customHeight="false" outlineLevel="0" collapsed="false">
      <c r="A42" s="5" t="s">
        <v>145</v>
      </c>
      <c r="B42" s="5" t="s">
        <v>159</v>
      </c>
      <c r="C42" s="8" t="s">
        <v>160</v>
      </c>
      <c r="D42" s="9" t="s">
        <v>148</v>
      </c>
      <c r="E42" s="9" t="s">
        <v>77</v>
      </c>
      <c r="F42" s="10" t="n">
        <v>1</v>
      </c>
      <c r="G42" s="11" t="n">
        <f aca="false">3+F42</f>
        <v>4</v>
      </c>
      <c r="H42" s="11" t="str">
        <f aca="false">IF(COUNTIFS($D$5:$D$60,D42,$E$5:$E$60,E42,$F$5:$F$60,F42)&gt;1,"REPETIDA",IF(G42&gt;9,"¡más de 9!","ok"))</f>
        <v>ok</v>
      </c>
      <c r="I42" s="5"/>
    </row>
    <row r="43" customFormat="false" ht="15" hidden="false" customHeight="false" outlineLevel="0" collapsed="false">
      <c r="A43" s="5" t="s">
        <v>145</v>
      </c>
      <c r="B43" s="5" t="s">
        <v>161</v>
      </c>
      <c r="C43" s="8" t="s">
        <v>162</v>
      </c>
      <c r="D43" s="9" t="s">
        <v>148</v>
      </c>
      <c r="E43" s="9" t="s">
        <v>81</v>
      </c>
      <c r="F43" s="10" t="n">
        <v>2</v>
      </c>
      <c r="G43" s="11" t="n">
        <f aca="false">3+F43</f>
        <v>5</v>
      </c>
      <c r="H43" s="11" t="str">
        <f aca="false">IF(COUNTIFS($D$5:$D$60,D43,$E$5:$E$60,E43,$F$5:$F$60,F43)&gt;1,"REPETIDA",IF(G43&gt;9,"¡más de 9!","ok"))</f>
        <v>ok</v>
      </c>
      <c r="I43" s="5"/>
    </row>
    <row r="44" customFormat="false" ht="15" hidden="false" customHeight="false" outlineLevel="0" collapsed="false">
      <c r="A44" s="5" t="s">
        <v>145</v>
      </c>
      <c r="B44" s="5" t="s">
        <v>163</v>
      </c>
      <c r="C44" s="8" t="s">
        <v>164</v>
      </c>
      <c r="D44" s="9" t="s">
        <v>148</v>
      </c>
      <c r="E44" s="9" t="s">
        <v>165</v>
      </c>
      <c r="F44" s="10" t="n">
        <v>1</v>
      </c>
      <c r="G44" s="11" t="n">
        <f aca="false">3+F44</f>
        <v>4</v>
      </c>
      <c r="H44" s="11" t="str">
        <f aca="false">IF(COUNTIFS($D$5:$D$60,D44,$E$5:$E$60,E44,$F$5:$F$60,F44)&gt;1,"REPETIDA",IF(G44&gt;9,"¡más de 9!","ok"))</f>
        <v>ok</v>
      </c>
      <c r="I44" s="5"/>
    </row>
    <row r="45" customFormat="false" ht="15" hidden="false" customHeight="false" outlineLevel="0" collapsed="false">
      <c r="A45" s="5" t="s">
        <v>145</v>
      </c>
      <c r="B45" s="5" t="s">
        <v>166</v>
      </c>
      <c r="C45" s="8" t="s">
        <v>167</v>
      </c>
      <c r="D45" s="9" t="s">
        <v>148</v>
      </c>
      <c r="E45" s="9" t="s">
        <v>74</v>
      </c>
      <c r="F45" s="10" t="n">
        <v>1</v>
      </c>
      <c r="G45" s="11" t="n">
        <f aca="false">3+F45</f>
        <v>4</v>
      </c>
      <c r="H45" s="11" t="str">
        <f aca="false">IF(COUNTIFS($D$5:$D$60,D45,$E$5:$E$60,E45,$F$5:$F$60,F45)&gt;1,"REPETIDA",IF(G45&gt;9,"¡más de 9!","ok"))</f>
        <v>ok</v>
      </c>
      <c r="I45" s="5"/>
    </row>
    <row r="46" customFormat="false" ht="15" hidden="false" customHeight="false" outlineLevel="0" collapsed="false">
      <c r="A46" s="5" t="s">
        <v>145</v>
      </c>
      <c r="B46" s="5" t="s">
        <v>168</v>
      </c>
      <c r="C46" s="8" t="s">
        <v>169</v>
      </c>
      <c r="D46" s="9" t="s">
        <v>148</v>
      </c>
      <c r="E46" s="9" t="s">
        <v>170</v>
      </c>
      <c r="F46" s="10" t="n">
        <v>1</v>
      </c>
      <c r="G46" s="11" t="n">
        <f aca="false">3+F46</f>
        <v>4</v>
      </c>
      <c r="H46" s="11" t="str">
        <f aca="false">IF(COUNTIFS($D$5:$D$60,D46,$E$5:$E$60,E46,$F$5:$F$60,F46)&gt;1,"REPETIDA",IF(G46&gt;9,"¡más de 9!","ok"))</f>
        <v>ok</v>
      </c>
      <c r="I46" s="5"/>
    </row>
    <row r="47" customFormat="false" ht="15" hidden="false" customHeight="false" outlineLevel="0" collapsed="false">
      <c r="A47" s="5" t="s">
        <v>171</v>
      </c>
      <c r="B47" s="5" t="s">
        <v>172</v>
      </c>
      <c r="C47" s="8" t="s">
        <v>173</v>
      </c>
      <c r="D47" s="9" t="s">
        <v>174</v>
      </c>
      <c r="E47" s="9" t="s">
        <v>116</v>
      </c>
      <c r="F47" s="10" t="n">
        <v>1</v>
      </c>
      <c r="G47" s="11" t="n">
        <f aca="false">3+F47</f>
        <v>4</v>
      </c>
      <c r="H47" s="11" t="str">
        <f aca="false">IF(COUNTIFS($D$5:$D$60,D47,$E$5:$E$60,E47,$F$5:$F$60,F47)&gt;1,"REPETIDA",IF(G47&gt;9,"¡más de 9!","ok"))</f>
        <v>ok</v>
      </c>
      <c r="I47" s="5"/>
    </row>
    <row r="48" customFormat="false" ht="15" hidden="false" customHeight="false" outlineLevel="0" collapsed="false">
      <c r="A48" s="5" t="s">
        <v>171</v>
      </c>
      <c r="B48" s="5" t="s">
        <v>175</v>
      </c>
      <c r="C48" s="8" t="s">
        <v>176</v>
      </c>
      <c r="D48" s="9" t="s">
        <v>174</v>
      </c>
      <c r="E48" s="9" t="s">
        <v>116</v>
      </c>
      <c r="F48" s="10" t="n">
        <v>2</v>
      </c>
      <c r="G48" s="11" t="n">
        <f aca="false">3+F48</f>
        <v>5</v>
      </c>
      <c r="H48" s="11" t="str">
        <f aca="false">IF(COUNTIFS($D$5:$D$60,D48,$E$5:$E$60,E48,$F$5:$F$60,F48)&gt;1,"REPETIDA",IF(G48&gt;9,"¡más de 9!","ok"))</f>
        <v>ok</v>
      </c>
      <c r="I48" s="5"/>
    </row>
    <row r="49" customFormat="false" ht="15" hidden="false" customHeight="false" outlineLevel="0" collapsed="false">
      <c r="A49" s="5" t="s">
        <v>171</v>
      </c>
      <c r="B49" s="5" t="s">
        <v>177</v>
      </c>
      <c r="C49" s="8" t="s">
        <v>178</v>
      </c>
      <c r="D49" s="9" t="s">
        <v>174</v>
      </c>
      <c r="E49" s="9" t="s">
        <v>108</v>
      </c>
      <c r="F49" s="10" t="n">
        <v>1</v>
      </c>
      <c r="G49" s="11" t="n">
        <f aca="false">3+F49</f>
        <v>4</v>
      </c>
      <c r="H49" s="11" t="str">
        <f aca="false">IF(COUNTIFS($D$5:$D$60,D49,$E$5:$E$60,E49,$F$5:$F$60,F49)&gt;1,"REPETIDA",IF(G49&gt;9,"¡más de 9!","ok"))</f>
        <v>ok</v>
      </c>
      <c r="I49" s="5"/>
    </row>
    <row r="50" customFormat="false" ht="15" hidden="false" customHeight="false" outlineLevel="0" collapsed="false">
      <c r="A50" s="5" t="s">
        <v>171</v>
      </c>
      <c r="B50" s="5" t="s">
        <v>179</v>
      </c>
      <c r="C50" s="8" t="s">
        <v>180</v>
      </c>
      <c r="D50" s="9" t="s">
        <v>174</v>
      </c>
      <c r="E50" s="9" t="s">
        <v>97</v>
      </c>
      <c r="F50" s="10" t="n">
        <v>1</v>
      </c>
      <c r="G50" s="11" t="n">
        <f aca="false">3+F50</f>
        <v>4</v>
      </c>
      <c r="H50" s="11" t="str">
        <f aca="false">IF(COUNTIFS($D$5:$D$60,D50,$E$5:$E$60,E50,$F$5:$F$60,F50)&gt;1,"REPETIDA",IF(G50&gt;9,"¡más de 9!","ok"))</f>
        <v>ok</v>
      </c>
      <c r="I50" s="5"/>
    </row>
  </sheetData>
  <dataValidations count="2">
    <dataValidation allowBlank="true" errorStyle="stop" operator="between" showDropDown="false" showErrorMessage="false" showInputMessage="false" sqref="E5:E60" type="list">
      <formula1>Leyenda!$A$4:$A$32</formula1>
      <formula2>0</formula2>
    </dataValidation>
    <dataValidation allowBlank="true" errorStyle="stop" operator="between" showDropDown="false" showErrorMessage="false" showInputMessage="false" sqref="D5:D60" type="list">
      <formula1>Leyenda!$C$4:$C$13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12"/>
  </cols>
  <sheetData>
    <row r="1" customFormat="false" ht="16.1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6" t="s">
        <v>182</v>
      </c>
    </row>
    <row r="4" customFormat="false" ht="15" hidden="false" customHeight="false" outlineLevel="0" collapsed="false">
      <c r="A4" s="12" t="s">
        <v>47</v>
      </c>
      <c r="B4" s="12" t="s">
        <v>183</v>
      </c>
      <c r="C4" s="12" t="s">
        <v>49</v>
      </c>
      <c r="D4" s="12" t="s">
        <v>184</v>
      </c>
      <c r="E4" s="12" t="s">
        <v>185</v>
      </c>
      <c r="F4" s="12" t="s">
        <v>52</v>
      </c>
      <c r="G4" s="12" t="s">
        <v>186</v>
      </c>
      <c r="H4" s="12" t="s">
        <v>52</v>
      </c>
      <c r="I4" s="12" t="s">
        <v>187</v>
      </c>
      <c r="J4" s="12" t="s">
        <v>54</v>
      </c>
    </row>
    <row r="5" customFormat="false" ht="15" hidden="false" customHeight="false" outlineLevel="0" collapsed="false">
      <c r="A5" s="5" t="s">
        <v>188</v>
      </c>
      <c r="B5" s="5" t="s">
        <v>31</v>
      </c>
      <c r="C5" s="8" t="s">
        <v>189</v>
      </c>
      <c r="D5" s="9" t="s">
        <v>190</v>
      </c>
      <c r="E5" s="9" t="s">
        <v>97</v>
      </c>
      <c r="F5" s="9" t="n">
        <v>1</v>
      </c>
      <c r="G5" s="9" t="s">
        <v>191</v>
      </c>
      <c r="H5" s="9" t="n">
        <v>1</v>
      </c>
      <c r="I5" s="11" t="n">
        <f aca="false">1+SUM(F5,H5)</f>
        <v>3</v>
      </c>
      <c r="J5" s="11" t="str">
        <f aca="false">IF(COUNTIFS($D$5:$D$40,D5,$E$5:$E$40,E5,$F$5:$F$40,F5,$G$5:$G$40,G5,$H$5:$H$40,H5)&gt;1,"REPETIDA",IF(I5&gt;9,"¡más de 9!","ok"))</f>
        <v>ok</v>
      </c>
    </row>
    <row r="6" customFormat="false" ht="15" hidden="false" customHeight="false" outlineLevel="0" collapsed="false">
      <c r="A6" s="5" t="s">
        <v>188</v>
      </c>
      <c r="B6" s="5" t="s">
        <v>192</v>
      </c>
      <c r="C6" s="8" t="s">
        <v>193</v>
      </c>
      <c r="D6" s="9" t="s">
        <v>190</v>
      </c>
      <c r="E6" s="9" t="s">
        <v>97</v>
      </c>
      <c r="F6" s="9" t="n">
        <v>2</v>
      </c>
      <c r="G6" s="9" t="s">
        <v>191</v>
      </c>
      <c r="H6" s="9" t="n">
        <v>1</v>
      </c>
      <c r="I6" s="11" t="n">
        <f aca="false">1+SUM(F6,H6)</f>
        <v>4</v>
      </c>
      <c r="J6" s="11" t="str">
        <f aca="false">IF(COUNTIFS($D$5:$D$40,D6,$E$5:$E$40,E6,$F$5:$F$40,F6,$G$5:$G$40,G6,$H$5:$H$40,H6)&gt;1,"REPETIDA",IF(I6&gt;9,"¡más de 9!","ok"))</f>
        <v>ok</v>
      </c>
    </row>
    <row r="7" customFormat="false" ht="15" hidden="false" customHeight="false" outlineLevel="0" collapsed="false">
      <c r="A7" s="5" t="s">
        <v>188</v>
      </c>
      <c r="B7" s="5" t="s">
        <v>194</v>
      </c>
      <c r="C7" s="8" t="s">
        <v>195</v>
      </c>
      <c r="D7" s="9" t="s">
        <v>190</v>
      </c>
      <c r="E7" s="9" t="s">
        <v>105</v>
      </c>
      <c r="F7" s="9" t="n">
        <v>1</v>
      </c>
      <c r="G7" s="9" t="s">
        <v>191</v>
      </c>
      <c r="H7" s="9" t="n">
        <v>1</v>
      </c>
      <c r="I7" s="11" t="n">
        <f aca="false">1+SUM(F7,H7)</f>
        <v>3</v>
      </c>
      <c r="J7" s="11" t="str">
        <f aca="false">IF(COUNTIFS($D$5:$D$40,D7,$E$5:$E$40,E7,$F$5:$F$40,F7,$G$5:$G$40,G7,$H$5:$H$40,H7)&gt;1,"REPETIDA",IF(I7&gt;9,"¡más de 9!","ok"))</f>
        <v>ok</v>
      </c>
    </row>
    <row r="8" customFormat="false" ht="15" hidden="false" customHeight="false" outlineLevel="0" collapsed="false">
      <c r="A8" s="5" t="s">
        <v>188</v>
      </c>
      <c r="B8" s="5" t="s">
        <v>196</v>
      </c>
      <c r="C8" s="8" t="s">
        <v>197</v>
      </c>
      <c r="D8" s="9" t="s">
        <v>190</v>
      </c>
      <c r="E8" s="9" t="s">
        <v>97</v>
      </c>
      <c r="F8" s="9" t="n">
        <v>3</v>
      </c>
      <c r="G8" s="9" t="s">
        <v>191</v>
      </c>
      <c r="H8" s="9" t="n">
        <v>1</v>
      </c>
      <c r="I8" s="11" t="n">
        <f aca="false">1+SUM(F8,H8)</f>
        <v>5</v>
      </c>
      <c r="J8" s="11" t="str">
        <f aca="false">IF(COUNTIFS($D$5:$D$40,D8,$E$5:$E$40,E8,$F$5:$F$40,F8,$G$5:$G$40,G8,$H$5:$H$40,H8)&gt;1,"REPETIDA",IF(I8&gt;9,"¡más de 9!","ok"))</f>
        <v>ok</v>
      </c>
    </row>
    <row r="9" customFormat="false" ht="15" hidden="false" customHeight="false" outlineLevel="0" collapsed="false">
      <c r="A9" s="5" t="s">
        <v>188</v>
      </c>
      <c r="B9" s="5" t="s">
        <v>198</v>
      </c>
      <c r="C9" s="8" t="s">
        <v>199</v>
      </c>
      <c r="D9" s="9" t="s">
        <v>190</v>
      </c>
      <c r="E9" s="9" t="s">
        <v>74</v>
      </c>
      <c r="F9" s="9" t="n">
        <v>1</v>
      </c>
      <c r="G9" s="9" t="s">
        <v>191</v>
      </c>
      <c r="H9" s="9" t="n">
        <v>1</v>
      </c>
      <c r="I9" s="11" t="n">
        <f aca="false">1+SUM(F9,H9)</f>
        <v>3</v>
      </c>
      <c r="J9" s="11" t="str">
        <f aca="false">IF(COUNTIFS($D$5:$D$40,D9,$E$5:$E$40,E9,$F$5:$F$40,F9,$G$5:$G$40,G9,$H$5:$H$40,H9)&gt;1,"REPETIDA",IF(I9&gt;9,"¡más de 9!","ok"))</f>
        <v>ok</v>
      </c>
    </row>
    <row r="10" customFormat="false" ht="15" hidden="false" customHeight="false" outlineLevel="0" collapsed="false">
      <c r="A10" s="5" t="s">
        <v>188</v>
      </c>
      <c r="B10" s="5" t="s">
        <v>200</v>
      </c>
      <c r="C10" s="8" t="s">
        <v>201</v>
      </c>
      <c r="D10" s="9" t="s">
        <v>190</v>
      </c>
      <c r="E10" s="9" t="s">
        <v>202</v>
      </c>
      <c r="F10" s="9" t="n">
        <v>1</v>
      </c>
      <c r="G10" s="9" t="s">
        <v>191</v>
      </c>
      <c r="H10" s="9" t="n">
        <v>1</v>
      </c>
      <c r="I10" s="11" t="n">
        <f aca="false">1+SUM(F10,H10)</f>
        <v>3</v>
      </c>
      <c r="J10" s="11" t="str">
        <f aca="false">IF(COUNTIFS($D$5:$D$40,D10,$E$5:$E$40,E10,$F$5:$F$40,F10,$G$5:$G$40,G10,$H$5:$H$40,H10)&gt;1,"REPETIDA",IF(I10&gt;9,"¡más de 9!","ok"))</f>
        <v>ok</v>
      </c>
    </row>
    <row r="11" customFormat="false" ht="15" hidden="false" customHeight="false" outlineLevel="0" collapsed="false">
      <c r="A11" s="5" t="s">
        <v>188</v>
      </c>
      <c r="B11" s="5" t="s">
        <v>203</v>
      </c>
      <c r="C11" s="8" t="s">
        <v>204</v>
      </c>
      <c r="D11" s="9" t="s">
        <v>190</v>
      </c>
      <c r="E11" s="9" t="s">
        <v>108</v>
      </c>
      <c r="F11" s="9" t="n">
        <v>1</v>
      </c>
      <c r="G11" s="9" t="s">
        <v>191</v>
      </c>
      <c r="H11" s="9" t="n">
        <v>1</v>
      </c>
      <c r="I11" s="11" t="n">
        <f aca="false">1+SUM(F11,H11)</f>
        <v>3</v>
      </c>
      <c r="J11" s="11" t="str">
        <f aca="false">IF(COUNTIFS($D$5:$D$40,D11,$E$5:$E$40,E11,$F$5:$F$40,F11,$G$5:$G$40,G11,$H$5:$H$40,H11)&gt;1,"REPETIDA",IF(I11&gt;9,"¡más de 9!","ok"))</f>
        <v>ok</v>
      </c>
    </row>
    <row r="12" customFormat="false" ht="15" hidden="false" customHeight="false" outlineLevel="0" collapsed="false">
      <c r="A12" s="5" t="s">
        <v>188</v>
      </c>
      <c r="B12" s="5" t="s">
        <v>205</v>
      </c>
      <c r="C12" s="8" t="s">
        <v>206</v>
      </c>
      <c r="D12" s="9" t="s">
        <v>190</v>
      </c>
      <c r="E12" s="9" t="s">
        <v>207</v>
      </c>
      <c r="F12" s="9" t="n">
        <v>1</v>
      </c>
      <c r="G12" s="9" t="s">
        <v>97</v>
      </c>
      <c r="H12" s="9" t="n">
        <v>2</v>
      </c>
      <c r="I12" s="11" t="n">
        <f aca="false">1+SUM(F12,H12)</f>
        <v>4</v>
      </c>
      <c r="J12" s="11" t="str">
        <f aca="false">IF(COUNTIFS($D$5:$D$40,D12,$E$5:$E$40,E12,$F$5:$F$40,F12,$G$5:$G$40,G12,$H$5:$H$40,H12)&gt;1,"REPETIDA",IF(I12&gt;9,"¡más de 9!","ok"))</f>
        <v>ok</v>
      </c>
    </row>
    <row r="13" customFormat="false" ht="15" hidden="false" customHeight="false" outlineLevel="0" collapsed="false">
      <c r="A13" s="5" t="s">
        <v>208</v>
      </c>
      <c r="B13" s="5" t="s">
        <v>209</v>
      </c>
      <c r="C13" s="8" t="s">
        <v>210</v>
      </c>
      <c r="D13" s="9" t="s">
        <v>211</v>
      </c>
      <c r="E13" s="9" t="s">
        <v>60</v>
      </c>
      <c r="F13" s="9" t="n">
        <v>1</v>
      </c>
      <c r="G13" s="9"/>
      <c r="H13" s="9"/>
      <c r="I13" s="11" t="n">
        <f aca="false">1+SUM(F13,H13)</f>
        <v>2</v>
      </c>
      <c r="J13" s="11" t="str">
        <f aca="false">IF(COUNTIFS($D$5:$D$40,D13,$E$5:$E$40,E13,$F$5:$F$40,F13,$G$5:$G$40,G13,$H$5:$H$40,H13)&gt;1,"REPETIDA",IF(I13&gt;9,"¡más de 9!","ok"))</f>
        <v>ok</v>
      </c>
    </row>
    <row r="14" customFormat="false" ht="15" hidden="false" customHeight="false" outlineLevel="0" collapsed="false">
      <c r="A14" s="5" t="s">
        <v>208</v>
      </c>
      <c r="B14" s="5" t="s">
        <v>212</v>
      </c>
      <c r="C14" s="8" t="s">
        <v>213</v>
      </c>
      <c r="D14" s="9" t="s">
        <v>211</v>
      </c>
      <c r="E14" s="9" t="s">
        <v>71</v>
      </c>
      <c r="F14" s="9" t="n">
        <v>1</v>
      </c>
      <c r="G14" s="9"/>
      <c r="H14" s="9"/>
      <c r="I14" s="11" t="n">
        <f aca="false">1+SUM(F14,H14)</f>
        <v>2</v>
      </c>
      <c r="J14" s="11" t="str">
        <f aca="false">IF(COUNTIFS($D$5:$D$40,D14,$E$5:$E$40,E14,$F$5:$F$40,F14,$G$5:$G$40,G14,$H$5:$H$40,H14)&gt;1,"REPETIDA",IF(I14&gt;9,"¡más de 9!","ok"))</f>
        <v>ok</v>
      </c>
    </row>
    <row r="15" customFormat="false" ht="15" hidden="false" customHeight="false" outlineLevel="0" collapsed="false">
      <c r="A15" s="5" t="s">
        <v>208</v>
      </c>
      <c r="B15" s="5" t="s">
        <v>214</v>
      </c>
      <c r="C15" s="8" t="s">
        <v>215</v>
      </c>
      <c r="D15" s="9" t="s">
        <v>211</v>
      </c>
      <c r="E15" s="9" t="s">
        <v>202</v>
      </c>
      <c r="F15" s="9" t="n">
        <v>1</v>
      </c>
      <c r="G15" s="9"/>
      <c r="H15" s="9"/>
      <c r="I15" s="11" t="n">
        <f aca="false">1+SUM(F15,H15)</f>
        <v>2</v>
      </c>
      <c r="J15" s="11" t="str">
        <f aca="false">IF(COUNTIFS($D$5:$D$40,D15,$E$5:$E$40,E15,$F$5:$F$40,F15,$G$5:$G$40,G15,$H$5:$H$40,H15)&gt;1,"REPETIDA",IF(I15&gt;9,"¡más de 9!","ok"))</f>
        <v>ok</v>
      </c>
    </row>
    <row r="16" customFormat="false" ht="15" hidden="false" customHeight="false" outlineLevel="0" collapsed="false">
      <c r="A16" s="5" t="s">
        <v>208</v>
      </c>
      <c r="B16" s="5" t="s">
        <v>216</v>
      </c>
      <c r="C16" s="8" t="s">
        <v>217</v>
      </c>
      <c r="D16" s="9" t="s">
        <v>211</v>
      </c>
      <c r="E16" s="9" t="s">
        <v>105</v>
      </c>
      <c r="F16" s="9" t="n">
        <v>1</v>
      </c>
      <c r="G16" s="9"/>
      <c r="H16" s="9"/>
      <c r="I16" s="11" t="n">
        <f aca="false">1+SUM(F16,H16)</f>
        <v>2</v>
      </c>
      <c r="J16" s="11" t="str">
        <f aca="false">IF(COUNTIFS($D$5:$D$40,D16,$E$5:$E$40,E16,$F$5:$F$40,F16,$G$5:$G$40,G16,$H$5:$H$40,H16)&gt;1,"REPETIDA",IF(I16&gt;9,"¡más de 9!","ok"))</f>
        <v>ok</v>
      </c>
    </row>
    <row r="17" customFormat="false" ht="15" hidden="false" customHeight="false" outlineLevel="0" collapsed="false">
      <c r="A17" s="5" t="s">
        <v>208</v>
      </c>
      <c r="B17" s="5" t="s">
        <v>218</v>
      </c>
      <c r="C17" s="8" t="s">
        <v>219</v>
      </c>
      <c r="D17" s="9" t="s">
        <v>211</v>
      </c>
      <c r="E17" s="9" t="s">
        <v>77</v>
      </c>
      <c r="F17" s="9" t="n">
        <v>1</v>
      </c>
      <c r="G17" s="9"/>
      <c r="H17" s="9"/>
      <c r="I17" s="11" t="n">
        <f aca="false">1+SUM(F17,H17)</f>
        <v>2</v>
      </c>
      <c r="J17" s="11" t="str">
        <f aca="false">IF(COUNTIFS($D$5:$D$40,D17,$E$5:$E$40,E17,$F$5:$F$40,F17,$G$5:$G$40,G17,$H$5:$H$40,H17)&gt;1,"REPETIDA",IF(I17&gt;9,"¡más de 9!","ok"))</f>
        <v>ok</v>
      </c>
    </row>
    <row r="18" customFormat="false" ht="15" hidden="false" customHeight="false" outlineLevel="0" collapsed="false">
      <c r="A18" s="5" t="s">
        <v>220</v>
      </c>
      <c r="B18" s="5" t="s">
        <v>221</v>
      </c>
      <c r="C18" s="8" t="s">
        <v>222</v>
      </c>
      <c r="D18" s="9" t="s">
        <v>223</v>
      </c>
      <c r="E18" s="9" t="s">
        <v>97</v>
      </c>
      <c r="F18" s="9" t="n">
        <v>2</v>
      </c>
      <c r="G18" s="9"/>
      <c r="H18" s="9"/>
      <c r="I18" s="11" t="n">
        <f aca="false">1+SUM(F18,H18)</f>
        <v>3</v>
      </c>
      <c r="J18" s="11" t="str">
        <f aca="false">IF(COUNTIFS($D$5:$D$40,D18,$E$5:$E$40,E18,$F$5:$F$40,F18,$G$5:$G$40,G18,$H$5:$H$40,H18)&gt;1,"REPETIDA",IF(I18&gt;9,"¡más de 9!","ok"))</f>
        <v>ok</v>
      </c>
    </row>
    <row r="19" customFormat="false" ht="15" hidden="false" customHeight="false" outlineLevel="0" collapsed="false">
      <c r="A19" s="5" t="s">
        <v>220</v>
      </c>
      <c r="B19" s="5" t="s">
        <v>224</v>
      </c>
      <c r="C19" s="8" t="s">
        <v>225</v>
      </c>
      <c r="D19" s="9" t="s">
        <v>223</v>
      </c>
      <c r="E19" s="9" t="s">
        <v>226</v>
      </c>
      <c r="F19" s="9" t="n">
        <v>1</v>
      </c>
      <c r="G19" s="9" t="s">
        <v>97</v>
      </c>
      <c r="H19" s="9" t="n">
        <v>1</v>
      </c>
      <c r="I19" s="11" t="n">
        <f aca="false">1+SUM(F19,H19)</f>
        <v>3</v>
      </c>
      <c r="J19" s="11" t="str">
        <f aca="false">IF(COUNTIFS($D$5:$D$40,D19,$E$5:$E$40,E19,$F$5:$F$40,F19,$G$5:$G$40,G19,$H$5:$H$40,H19)&gt;1,"REPETIDA",IF(I19&gt;9,"¡más de 9!","ok"))</f>
        <v>ok</v>
      </c>
    </row>
    <row r="20" customFormat="false" ht="15" hidden="false" customHeight="false" outlineLevel="0" collapsed="false">
      <c r="A20" s="5" t="s">
        <v>220</v>
      </c>
      <c r="B20" s="5" t="s">
        <v>227</v>
      </c>
      <c r="C20" s="8" t="s">
        <v>228</v>
      </c>
      <c r="D20" s="9" t="s">
        <v>223</v>
      </c>
      <c r="E20" s="9" t="s">
        <v>229</v>
      </c>
      <c r="F20" s="9" t="n">
        <v>1</v>
      </c>
      <c r="G20" s="9"/>
      <c r="H20" s="9"/>
      <c r="I20" s="11" t="n">
        <f aca="false">1+SUM(F20,H20)</f>
        <v>2</v>
      </c>
      <c r="J20" s="11" t="str">
        <f aca="false">IF(COUNTIFS($D$5:$D$40,D20,$E$5:$E$40,E20,$F$5:$F$40,F20,$G$5:$G$40,G20,$H$5:$H$40,H20)&gt;1,"REPETIDA",IF(I20&gt;9,"¡más de 9!","ok"))</f>
        <v>ok</v>
      </c>
    </row>
    <row r="21" customFormat="false" ht="15" hidden="false" customHeight="false" outlineLevel="0" collapsed="false">
      <c r="A21" s="5" t="s">
        <v>220</v>
      </c>
      <c r="B21" s="5" t="s">
        <v>230</v>
      </c>
      <c r="C21" s="8" t="s">
        <v>231</v>
      </c>
      <c r="D21" s="9" t="s">
        <v>223</v>
      </c>
      <c r="E21" s="9" t="s">
        <v>116</v>
      </c>
      <c r="F21" s="9" t="n">
        <v>1</v>
      </c>
      <c r="G21" s="9"/>
      <c r="H21" s="9"/>
      <c r="I21" s="11" t="n">
        <f aca="false">1+SUM(F21,H21)</f>
        <v>2</v>
      </c>
      <c r="J21" s="11" t="str">
        <f aca="false">IF(COUNTIFS($D$5:$D$40,D21,$E$5:$E$40,E21,$F$5:$F$40,F21,$G$5:$G$40,G21,$H$5:$H$40,H21)&gt;1,"REPETIDA",IF(I21&gt;9,"¡más de 9!","ok"))</f>
        <v>ok</v>
      </c>
    </row>
    <row r="22" customFormat="false" ht="15" hidden="false" customHeight="false" outlineLevel="0" collapsed="false">
      <c r="A22" s="5" t="s">
        <v>220</v>
      </c>
      <c r="B22" s="5" t="s">
        <v>232</v>
      </c>
      <c r="C22" s="8" t="s">
        <v>233</v>
      </c>
      <c r="D22" s="9" t="s">
        <v>223</v>
      </c>
      <c r="E22" s="9" t="s">
        <v>207</v>
      </c>
      <c r="F22" s="9" t="n">
        <v>1</v>
      </c>
      <c r="G22" s="9" t="s">
        <v>97</v>
      </c>
      <c r="H22" s="9" t="n">
        <v>1</v>
      </c>
      <c r="I22" s="11" t="n">
        <f aca="false">1+SUM(F22,H22)</f>
        <v>3</v>
      </c>
      <c r="J22" s="11" t="str">
        <f aca="false">IF(COUNTIFS($D$5:$D$40,D22,$E$5:$E$40,E22,$F$5:$F$40,F22,$G$5:$G$40,G22,$H$5:$H$40,H22)&gt;1,"REPETIDA",IF(I22&gt;9,"¡más de 9!","ok"))</f>
        <v>ok</v>
      </c>
    </row>
    <row r="23" customFormat="false" ht="15" hidden="false" customHeight="false" outlineLevel="0" collapsed="false">
      <c r="A23" s="5" t="s">
        <v>234</v>
      </c>
      <c r="B23" s="5" t="s">
        <v>235</v>
      </c>
      <c r="C23" s="8" t="s">
        <v>236</v>
      </c>
      <c r="D23" s="9" t="s">
        <v>223</v>
      </c>
      <c r="E23" s="9" t="s">
        <v>116</v>
      </c>
      <c r="F23" s="9" t="n">
        <v>1</v>
      </c>
      <c r="G23" s="9" t="s">
        <v>97</v>
      </c>
      <c r="H23" s="9" t="n">
        <v>1</v>
      </c>
      <c r="I23" s="11" t="n">
        <f aca="false">1+SUM(F23,H23)</f>
        <v>3</v>
      </c>
      <c r="J23" s="11" t="str">
        <f aca="false">IF(COUNTIFS($D$5:$D$40,D23,$E$5:$E$40,E23,$F$5:$F$40,F23,$G$5:$G$40,G23,$H$5:$H$40,H23)&gt;1,"REPETIDA",IF(I23&gt;9,"¡más de 9!","ok"))</f>
        <v>ok</v>
      </c>
    </row>
    <row r="24" customFormat="false" ht="15" hidden="false" customHeight="false" outlineLevel="0" collapsed="false">
      <c r="A24" s="5" t="s">
        <v>234</v>
      </c>
      <c r="B24" s="5" t="s">
        <v>237</v>
      </c>
      <c r="C24" s="8" t="s">
        <v>238</v>
      </c>
      <c r="D24" s="9" t="s">
        <v>223</v>
      </c>
      <c r="E24" s="9" t="s">
        <v>237</v>
      </c>
      <c r="F24" s="9" t="n">
        <v>1</v>
      </c>
      <c r="G24" s="9"/>
      <c r="H24" s="9"/>
      <c r="I24" s="11" t="n">
        <f aca="false">1+SUM(F24,H24)</f>
        <v>2</v>
      </c>
      <c r="J24" s="11" t="str">
        <f aca="false">IF(COUNTIFS($D$5:$D$40,D24,$E$5:$E$40,E24,$F$5:$F$40,F24,$G$5:$G$40,G24,$H$5:$H$40,H24)&gt;1,"REPETIDA",IF(I24&gt;9,"¡más de 9!","ok"))</f>
        <v>ok</v>
      </c>
    </row>
    <row r="25" customFormat="false" ht="15" hidden="false" customHeight="false" outlineLevel="0" collapsed="false">
      <c r="A25" s="5" t="s">
        <v>234</v>
      </c>
      <c r="B25" s="5" t="s">
        <v>239</v>
      </c>
      <c r="C25" s="8" t="s">
        <v>240</v>
      </c>
      <c r="D25" s="9" t="s">
        <v>223</v>
      </c>
      <c r="E25" s="9" t="s">
        <v>77</v>
      </c>
      <c r="F25" s="9" t="n">
        <v>2</v>
      </c>
      <c r="G25" s="9"/>
      <c r="H25" s="9"/>
      <c r="I25" s="11" t="n">
        <f aca="false">1+SUM(F25,H25)</f>
        <v>3</v>
      </c>
      <c r="J25" s="11" t="str">
        <f aca="false">IF(COUNTIFS($D$5:$D$40,D25,$E$5:$E$40,E25,$F$5:$F$40,F25,$G$5:$G$40,G25,$H$5:$H$40,H25)&gt;1,"REPETIDA",IF(I25&gt;9,"¡más de 9!","ok"))</f>
        <v>ok</v>
      </c>
    </row>
    <row r="26" customFormat="false" ht="15" hidden="false" customHeight="false" outlineLevel="0" collapsed="false">
      <c r="A26" s="5" t="s">
        <v>234</v>
      </c>
      <c r="B26" s="5" t="s">
        <v>241</v>
      </c>
      <c r="C26" s="8" t="s">
        <v>242</v>
      </c>
      <c r="D26" s="9" t="s">
        <v>223</v>
      </c>
      <c r="E26" s="9" t="s">
        <v>97</v>
      </c>
      <c r="F26" s="9" t="n">
        <v>2</v>
      </c>
      <c r="G26" s="9"/>
      <c r="H26" s="9"/>
      <c r="I26" s="11" t="n">
        <f aca="false">1+SUM(F26,H26)</f>
        <v>3</v>
      </c>
      <c r="J26" s="11" t="str">
        <f aca="false">IF(COUNTIFS($D$5:$D$40,D26,$E$5:$E$40,E26,$F$5:$F$40,F26,$G$5:$G$40,G26,$H$5:$H$40,H26)&gt;1,"REPETIDA",IF(I26&gt;9,"¡más de 9!","ok"))</f>
        <v>ok</v>
      </c>
    </row>
    <row r="27" customFormat="false" ht="15" hidden="false" customHeight="false" outlineLevel="0" collapsed="false">
      <c r="A27" s="5" t="s">
        <v>234</v>
      </c>
      <c r="B27" s="5" t="s">
        <v>243</v>
      </c>
      <c r="C27" s="8" t="s">
        <v>244</v>
      </c>
      <c r="D27" s="9" t="s">
        <v>223</v>
      </c>
      <c r="E27" s="9" t="s">
        <v>77</v>
      </c>
      <c r="F27" s="9" t="n">
        <v>1</v>
      </c>
      <c r="G27" s="9" t="s">
        <v>116</v>
      </c>
      <c r="H27" s="9" t="n">
        <v>1</v>
      </c>
      <c r="I27" s="11" t="n">
        <f aca="false">1+SUM(F27,H27)</f>
        <v>3</v>
      </c>
      <c r="J27" s="11" t="str">
        <f aca="false">IF(COUNTIFS($D$5:$D$40,D27,$E$5:$E$40,E27,$F$5:$F$40,F27,$G$5:$G$40,G27,$H$5:$H$40,H27)&gt;1,"REPETIDA",IF(I27&gt;9,"¡más de 9!","ok"))</f>
        <v>ok</v>
      </c>
    </row>
  </sheetData>
  <dataValidations count="1">
    <dataValidation allowBlank="true" errorStyle="stop" operator="between" showDropDown="false" showErrorMessage="false" showInputMessage="false" sqref="E5:E40 G5:G40" type="list">
      <formula1>Leyenda!$A$4:$A$32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13" t="s">
        <v>245</v>
      </c>
    </row>
    <row r="3" customFormat="false" ht="15" hidden="false" customHeight="false" outlineLevel="0" collapsed="false">
      <c r="A3" s="4" t="s">
        <v>246</v>
      </c>
      <c r="C3" s="4" t="s">
        <v>247</v>
      </c>
    </row>
    <row r="4" customFormat="false" ht="15" hidden="false" customHeight="false" outlineLevel="0" collapsed="false">
      <c r="A4" s="14" t="s">
        <v>97</v>
      </c>
      <c r="C4" s="14" t="s">
        <v>59</v>
      </c>
    </row>
    <row r="5" customFormat="false" ht="15" hidden="false" customHeight="false" outlineLevel="0" collapsed="false">
      <c r="A5" s="14" t="s">
        <v>88</v>
      </c>
      <c r="C5" s="14" t="s">
        <v>98</v>
      </c>
    </row>
    <row r="6" customFormat="false" ht="15" hidden="false" customHeight="false" outlineLevel="0" collapsed="false">
      <c r="A6" s="14" t="s">
        <v>116</v>
      </c>
      <c r="C6" s="14" t="s">
        <v>111</v>
      </c>
    </row>
    <row r="7" customFormat="false" ht="15" hidden="false" customHeight="false" outlineLevel="0" collapsed="false">
      <c r="A7" s="14" t="s">
        <v>226</v>
      </c>
      <c r="C7" s="14" t="s">
        <v>130</v>
      </c>
    </row>
    <row r="8" customFormat="false" ht="15" hidden="false" customHeight="false" outlineLevel="0" collapsed="false">
      <c r="A8" s="14" t="s">
        <v>105</v>
      </c>
      <c r="C8" s="14" t="s">
        <v>136</v>
      </c>
    </row>
    <row r="9" customFormat="false" ht="15" hidden="false" customHeight="false" outlineLevel="0" collapsed="false">
      <c r="A9" s="14" t="s">
        <v>101</v>
      </c>
      <c r="C9" s="14" t="s">
        <v>148</v>
      </c>
    </row>
    <row r="10" customFormat="false" ht="15" hidden="false" customHeight="false" outlineLevel="0" collapsed="false">
      <c r="A10" s="14" t="s">
        <v>60</v>
      </c>
      <c r="C10" s="14" t="s">
        <v>174</v>
      </c>
    </row>
    <row r="11" customFormat="false" ht="15" hidden="false" customHeight="false" outlineLevel="0" collapsed="false">
      <c r="A11" s="14" t="s">
        <v>63</v>
      </c>
      <c r="C11" s="14" t="s">
        <v>248</v>
      </c>
    </row>
    <row r="12" customFormat="false" ht="15" hidden="false" customHeight="false" outlineLevel="0" collapsed="false">
      <c r="A12" s="14" t="s">
        <v>67</v>
      </c>
      <c r="C12" s="14" t="s">
        <v>249</v>
      </c>
    </row>
    <row r="13" customFormat="false" ht="15" hidden="false" customHeight="false" outlineLevel="0" collapsed="false">
      <c r="A13" s="14" t="s">
        <v>71</v>
      </c>
      <c r="C13" s="14" t="s">
        <v>250</v>
      </c>
    </row>
    <row r="14" customFormat="false" ht="15" hidden="false" customHeight="false" outlineLevel="0" collapsed="false">
      <c r="A14" s="14" t="s">
        <v>74</v>
      </c>
    </row>
    <row r="15" customFormat="false" ht="15" hidden="false" customHeight="false" outlineLevel="0" collapsed="false">
      <c r="A15" s="14" t="s">
        <v>77</v>
      </c>
    </row>
    <row r="16" customFormat="false" ht="15" hidden="false" customHeight="false" outlineLevel="0" collapsed="false">
      <c r="A16" s="14" t="s">
        <v>157</v>
      </c>
    </row>
    <row r="17" customFormat="false" ht="15" hidden="false" customHeight="false" outlineLevel="0" collapsed="false">
      <c r="A17" s="14" t="s">
        <v>81</v>
      </c>
    </row>
    <row r="18" customFormat="false" ht="15" hidden="false" customHeight="false" outlineLevel="0" collapsed="false">
      <c r="A18" s="14" t="s">
        <v>170</v>
      </c>
    </row>
    <row r="19" customFormat="false" ht="15" hidden="false" customHeight="false" outlineLevel="0" collapsed="false">
      <c r="A19" s="14" t="s">
        <v>91</v>
      </c>
    </row>
    <row r="20" customFormat="false" ht="15" hidden="false" customHeight="false" outlineLevel="0" collapsed="false">
      <c r="A20" s="14" t="s">
        <v>94</v>
      </c>
    </row>
    <row r="21" customFormat="false" ht="15" hidden="false" customHeight="false" outlineLevel="0" collapsed="false">
      <c r="A21" s="14" t="s">
        <v>108</v>
      </c>
    </row>
    <row r="22" customFormat="false" ht="15" hidden="false" customHeight="false" outlineLevel="0" collapsed="false">
      <c r="A22" s="14" t="s">
        <v>121</v>
      </c>
    </row>
    <row r="23" customFormat="false" ht="15" hidden="false" customHeight="false" outlineLevel="0" collapsed="false">
      <c r="A23" s="14" t="s">
        <v>251</v>
      </c>
    </row>
    <row r="24" customFormat="false" ht="15" hidden="false" customHeight="false" outlineLevel="0" collapsed="false">
      <c r="A24" s="14" t="s">
        <v>165</v>
      </c>
    </row>
    <row r="25" customFormat="false" ht="15" hidden="false" customHeight="false" outlineLevel="0" collapsed="false">
      <c r="A25" s="14" t="s">
        <v>237</v>
      </c>
    </row>
    <row r="26" customFormat="false" ht="15" hidden="false" customHeight="false" outlineLevel="0" collapsed="false">
      <c r="A26" s="14" t="s">
        <v>229</v>
      </c>
    </row>
    <row r="27" customFormat="false" ht="15" hidden="false" customHeight="false" outlineLevel="0" collapsed="false">
      <c r="A27" s="14" t="s">
        <v>207</v>
      </c>
    </row>
    <row r="28" customFormat="false" ht="15" hidden="false" customHeight="false" outlineLevel="0" collapsed="false">
      <c r="A28" s="14" t="s">
        <v>252</v>
      </c>
    </row>
    <row r="29" customFormat="false" ht="15" hidden="false" customHeight="false" outlineLevel="0" collapsed="false">
      <c r="A29" s="14" t="s">
        <v>202</v>
      </c>
    </row>
    <row r="30" customFormat="false" ht="15" hidden="false" customHeight="false" outlineLevel="0" collapsed="false">
      <c r="A30" s="14" t="s">
        <v>191</v>
      </c>
    </row>
    <row r="31" customFormat="false" ht="15" hidden="false" customHeight="false" outlineLevel="0" collapsed="false">
      <c r="A31" s="14" t="s">
        <v>253</v>
      </c>
    </row>
    <row r="32" customFormat="false" ht="15" hidden="false" customHeight="false" outlineLevel="0" collapsed="false">
      <c r="A32" s="14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2026-10-12T21:08:27Z</dcterms:created>
  <dc:creator>openpyxl</dc:creator>
  <dc:description/>
  <dc:language>en-US</dc:language>
  <cp:lastModifiedBy/>
  <dcterms:modified xsi:type="dcterms:W3CDTF">2026-10-12T21:08:27Z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