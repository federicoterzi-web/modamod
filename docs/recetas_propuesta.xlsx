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tas" sheetId="1" state="visible" r:id="rId3"/>
    <sheet name="Leyenda" sheetId="2" state="visible" r:id="rId4"/>
    <sheet name="Decis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<sst xmlns="http://schemas.openxmlformats.org/spreadsheetml/2006/main" count="439" uniqueCount="218">
  <si>
    <t xml:space="preserve">Propuesta de recetas — ModaMod</t>
  </si>
  <si>
    <t xml:space="preserve">Editá las celdas amarillas: la grilla de la receta (una letra por casillero, ver hoja 'Leyenda'), el tipo y la SALIDA (cuántas unidades rinde un crafteo). Las columnas grises se recalculan solas. Celdas de la grilla vacías = sin ítem.</t>
  </si>
  <si>
    <t xml:space="preserve">Grilla 3×3 →</t>
  </si>
  <si>
    <t xml:space="preserve">Fila 1</t>
  </si>
  <si>
    <t xml:space="preserve">Fila 2</t>
  </si>
  <si>
    <t xml:space="preserve">Fila 3</t>
  </si>
  <si>
    <t xml:space="preserve">Categoría</t>
  </si>
  <si>
    <t xml:space="preserve">Producto</t>
  </si>
  <si>
    <t xml:space="preserve">Id del ítem</t>
  </si>
  <si>
    <t xml:space="preserve">F1·1</t>
  </si>
  <si>
    <t xml:space="preserve">F1·2</t>
  </si>
  <si>
    <t xml:space="preserve">F1·3</t>
  </si>
  <si>
    <t xml:space="preserve">F2·1</t>
  </si>
  <si>
    <t xml:space="preserve">F2·2</t>
  </si>
  <si>
    <t xml:space="preserve">F2·3</t>
  </si>
  <si>
    <t xml:space="preserve">F3·1</t>
  </si>
  <si>
    <t xml:space="preserve">F3·2</t>
  </si>
  <si>
    <t xml:space="preserve">F3·3</t>
  </si>
  <si>
    <t xml:space="preserve">Tipo</t>
  </si>
  <si>
    <t xml:space="preserve">Salida (un.)</t>
  </si>
  <si>
    <t xml:space="preserve">Lana</t>
  </si>
  <si>
    <t xml:space="preserve">Hilo</t>
  </si>
  <si>
    <t xml:space="preserve">Cuero</t>
  </si>
  <si>
    <t xml:space="preserve">Otros ítems</t>
  </si>
  <si>
    <t xml:space="preserve">Lana/u</t>
  </si>
  <si>
    <t xml:space="preserve">Hilo/u</t>
  </si>
  <si>
    <t xml:space="preserve">Cuero/u</t>
  </si>
  <si>
    <t xml:space="preserve">Telar: lana</t>
  </si>
  <si>
    <t xml:space="preserve">Telar: hilo</t>
  </si>
  <si>
    <t xml:space="preserve">Telar: cuero</t>
  </si>
  <si>
    <t xml:space="preserve">Notas</t>
  </si>
  <si>
    <t xml:space="preserve">Prendas</t>
  </si>
  <si>
    <t xml:space="preserve">Remera</t>
  </si>
  <si>
    <t xml:space="preserve">modamod:remera</t>
  </si>
  <si>
    <t xml:space="preserve">W</t>
  </si>
  <si>
    <t xml:space="preserve">Con forma</t>
  </si>
  <si>
    <t xml:space="preserve">Hoy existe (16 colores por receta); a mano sale del color de la lana</t>
  </si>
  <si>
    <t xml:space="preserve">Pantalón</t>
  </si>
  <si>
    <t xml:space="preserve">modamod:pantalon</t>
  </si>
  <si>
    <t xml:space="preserve">Hoy: W.W / WWW (5 de lana)</t>
  </si>
  <si>
    <t xml:space="preserve">Medias</t>
  </si>
  <si>
    <t xml:space="preserve">modamod:socks_solid</t>
  </si>
  <si>
    <t xml:space="preserve">S</t>
  </si>
  <si>
    <t xml:space="preserve">Probá salida 2</t>
  </si>
  <si>
    <t xml:space="preserve">Calientabrazos</t>
  </si>
  <si>
    <t xml:space="preserve">modamod:calientabrazos</t>
  </si>
  <si>
    <t xml:space="preserve">Igual que hoy; probá salida 2</t>
  </si>
  <si>
    <t xml:space="preserve">Pollera</t>
  </si>
  <si>
    <t xml:space="preserve">modamod:pollera</t>
  </si>
  <si>
    <t xml:space="preserve">El hilo es la cintura</t>
  </si>
  <si>
    <t xml:space="preserve">Capa</t>
  </si>
  <si>
    <t xml:space="preserve">modamod:capa</t>
  </si>
  <si>
    <t xml:space="preserve">Los dos hilos son el broche</t>
  </si>
  <si>
    <t xml:space="preserve">Delantal</t>
  </si>
  <si>
    <t xml:space="preserve">modamod:delantal</t>
  </si>
  <si>
    <t xml:space="preserve">Peto arriba</t>
  </si>
  <si>
    <t xml:space="preserve">Vincha</t>
  </si>
  <si>
    <t xml:space="preserve">modamod:sombrero_bruja (VINCHA)</t>
  </si>
  <si>
    <t xml:space="preserve">Cofia</t>
  </si>
  <si>
    <t xml:space="preserve">modamod:sombrero_bruja (COFIA)</t>
  </si>
  <si>
    <t xml:space="preserve">Sombrero</t>
  </si>
  <si>
    <t xml:space="preserve">modamod:sombrero_bruja</t>
  </si>
  <si>
    <t xml:space="preserve">B</t>
  </si>
  <si>
    <t xml:space="preserve">L</t>
  </si>
  <si>
    <t xml:space="preserve">B = lana negra (cono); cuero = ala</t>
  </si>
  <si>
    <t xml:space="preserve">Cinto</t>
  </si>
  <si>
    <t xml:space="preserve">modamod:banda (CINTURA)</t>
  </si>
  <si>
    <t xml:space="preserve">N</t>
  </si>
  <si>
    <t xml:space="preserve">N = pepita de hierro (hebilla)</t>
  </si>
  <si>
    <t xml:space="preserve">Collar</t>
  </si>
  <si>
    <t xml:space="preserve">modamod:banda (CUELLO)</t>
  </si>
  <si>
    <t xml:space="preserve">Versión fina; definir</t>
  </si>
  <si>
    <t xml:space="preserve">Borcegos</t>
  </si>
  <si>
    <t xml:space="preserve">modamod:borcegos</t>
  </si>
  <si>
    <t xml:space="preserve">El hilo son los cordones</t>
  </si>
  <si>
    <t xml:space="preserve">Prendas con prendas</t>
  </si>
  <si>
    <t xml:space="preserve">Hoodie / campera</t>
  </si>
  <si>
    <t xml:space="preserve">modamod:remera (con capucha)</t>
  </si>
  <si>
    <t xml:space="preserve">R</t>
  </si>
  <si>
    <t xml:space="preserve">Sin forma</t>
  </si>
  <si>
    <t xml:space="preserve">Remera + 3 de lana (capucha)</t>
  </si>
  <si>
    <t xml:space="preserve">Maid outfit</t>
  </si>
  <si>
    <t xml:space="preserve">modamod:maid_outfit</t>
  </si>
  <si>
    <t xml:space="preserve">Q</t>
  </si>
  <si>
    <t xml:space="preserve">E</t>
  </si>
  <si>
    <t xml:space="preserve">Remera + pollera + delantal (cambia la receta actual)</t>
  </si>
  <si>
    <t xml:space="preserve">Cinto con colgante</t>
  </si>
  <si>
    <t xml:space="preserve">modamod:banda (cinto + colgante)</t>
  </si>
  <si>
    <t xml:space="preserve">C</t>
  </si>
  <si>
    <t xml:space="preserve">A</t>
  </si>
  <si>
    <t xml:space="preserve">Cinto + collar</t>
  </si>
  <si>
    <t xml:space="preserve">Capa con embozo</t>
  </si>
  <si>
    <t xml:space="preserve">modamod:capa (embozo)</t>
  </si>
  <si>
    <t xml:space="preserve">K</t>
  </si>
  <si>
    <t xml:space="preserve">Capa + 2 de cuero</t>
  </si>
  <si>
    <t xml:space="preserve">Máquinas</t>
  </si>
  <si>
    <t xml:space="preserve">Telar automático</t>
  </si>
  <si>
    <t xml:space="preserve">modamod:telar</t>
  </si>
  <si>
    <t xml:space="preserve">U</t>
  </si>
  <si>
    <t xml:space="preserve">D</t>
  </si>
  <si>
    <t xml:space="preserve">M</t>
  </si>
  <si>
    <t xml:space="preserve">Ya existe (W = cualquier lana)</t>
  </si>
  <si>
    <t xml:space="preserve">Mesa de Modelado</t>
  </si>
  <si>
    <t xml:space="preserve">modamod:modelado</t>
  </si>
  <si>
    <t xml:space="preserve">P</t>
  </si>
  <si>
    <t xml:space="preserve">T</t>
  </si>
  <si>
    <t xml:space="preserve">Ya existe</t>
  </si>
  <si>
    <t xml:space="preserve">Sublimadora</t>
  </si>
  <si>
    <t xml:space="preserve">modamod:sublimadora</t>
  </si>
  <si>
    <t xml:space="preserve">I</t>
  </si>
  <si>
    <t xml:space="preserve">H</t>
  </si>
  <si>
    <t xml:space="preserve">G</t>
  </si>
  <si>
    <t xml:space="preserve">Estación de Tintes</t>
  </si>
  <si>
    <t xml:space="preserve">modamod:tinturas</t>
  </si>
  <si>
    <t xml:space="preserve">1</t>
  </si>
  <si>
    <t xml:space="preserve">2</t>
  </si>
  <si>
    <t xml:space="preserve">3</t>
  </si>
  <si>
    <t xml:space="preserve">4</t>
  </si>
  <si>
    <t xml:space="preserve">Z</t>
  </si>
  <si>
    <t xml:space="preserve">Propuesta: caldero + 4 tintes + hierro + 1 remera</t>
  </si>
  <si>
    <t xml:space="preserve">Estilista automática</t>
  </si>
  <si>
    <t xml:space="preserve">modamod:estilista</t>
  </si>
  <si>
    <t xml:space="preserve">Propuesta: telar + tijeras + pistón + remera</t>
  </si>
  <si>
    <t xml:space="preserve">Guardarropas</t>
  </si>
  <si>
    <t xml:space="preserve">modamod:guardarropas</t>
  </si>
  <si>
    <t xml:space="preserve">F</t>
  </si>
  <si>
    <t xml:space="preserve">O</t>
  </si>
  <si>
    <t xml:space="preserve">J</t>
  </si>
  <si>
    <t xml:space="preserve">Propuesta: cofre + remera + pantalón</t>
  </si>
  <si>
    <t xml:space="preserve">Maniquí</t>
  </si>
  <si>
    <t xml:space="preserve">modamod:maniqui</t>
  </si>
  <si>
    <t xml:space="preserve">V</t>
  </si>
  <si>
    <t xml:space="preserve">Propuesta: soporte de armadura + remera + pantalón</t>
  </si>
  <si>
    <t xml:space="preserve">Logística</t>
  </si>
  <si>
    <t xml:space="preserve">Cinta transportadora</t>
  </si>
  <si>
    <t xml:space="preserve">modamod:cinta</t>
  </si>
  <si>
    <t xml:space="preserve">Propuesta: rinde 6</t>
  </si>
  <si>
    <t xml:space="preserve">Empalme</t>
  </si>
  <si>
    <t xml:space="preserve">modamod:empalme</t>
  </si>
  <si>
    <t xml:space="preserve">Y</t>
  </si>
  <si>
    <t xml:space="preserve">X</t>
  </si>
  <si>
    <t xml:space="preserve">Cinta + tolva + hierro</t>
  </si>
  <si>
    <t xml:space="preserve">Moldes</t>
  </si>
  <si>
    <t xml:space="preserve">Molde genérico (papel + hilo)</t>
  </si>
  <si>
    <t xml:space="preserve">modamod:molde_*</t>
  </si>
  <si>
    <t xml:space="preserve">Decidir si se craftean o solo creativa</t>
  </si>
  <si>
    <t xml:space="preserve">Molde de rango / calce</t>
  </si>
  <si>
    <t xml:space="preserve">modamod:molde_rango_*</t>
  </si>
  <si>
    <t xml:space="preserve">Con tijeras (no se gastan)</t>
  </si>
  <si>
    <t xml:space="preserve">Lana = W (blanca) + B (negra, solo el sombrero). Otros ítems = todo lo que no es lana, hilo ni cuero (hierro, remera, etc.).</t>
  </si>
  <si>
    <t xml:space="preserve">Lana/u, Hilo/u y Cuero/u = costo por unidad producida (insumo ÷ salida). Si subís la salida, baja el costo por unidad.</t>
  </si>
  <si>
    <t xml:space="preserve">Telar: costos reales hoy en TelarPrenda.java (azul = dato fijo). Sirve para comparar contra el costo a mano por unidad.</t>
  </si>
  <si>
    <t xml:space="preserve">Tipo 'Sin forma' = receta sin forma fija (shapeless): el orden de las celdas no importa.</t>
  </si>
  <si>
    <t xml:space="preserve">Columnas amarillas = las que podés cambiar. Cuando termines, pasame el archivo y lo convierto en recetas del mod.</t>
  </si>
  <si>
    <t xml:space="preserve">Código de letras de la grilla</t>
  </si>
  <si>
    <t xml:space="preserve">Letra</t>
  </si>
  <si>
    <t xml:space="preserve">Ítem</t>
  </si>
  <si>
    <t xml:space="preserve">Id en Minecraft</t>
  </si>
  <si>
    <t xml:space="preserve">Lana (cualquier color o blanca)</t>
  </si>
  <si>
    <t xml:space="preserve">minecraft:*_wool</t>
  </si>
  <si>
    <t xml:space="preserve">Lana negra</t>
  </si>
  <si>
    <t xml:space="preserve">minecraft:black_wool</t>
  </si>
  <si>
    <t xml:space="preserve">minecraft:string</t>
  </si>
  <si>
    <t xml:space="preserve">minecraft:leather</t>
  </si>
  <si>
    <t xml:space="preserve">Pepita de hierro</t>
  </si>
  <si>
    <t xml:space="preserve">minecraft:iron_nugget</t>
  </si>
  <si>
    <t xml:space="preserve">Lingote de hierro</t>
  </si>
  <si>
    <t xml:space="preserve">minecraft:iron_ingot</t>
  </si>
  <si>
    <t xml:space="preserve">Papel</t>
  </si>
  <si>
    <t xml:space="preserve">minecraft:paper</t>
  </si>
  <si>
    <t xml:space="preserve">Tijeras</t>
  </si>
  <si>
    <t xml:space="preserve">minecraft:shears</t>
  </si>
  <si>
    <t xml:space="preserve">Redstone</t>
  </si>
  <si>
    <t xml:space="preserve">minecraft:redstone</t>
  </si>
  <si>
    <t xml:space="preserve">Pistón</t>
  </si>
  <si>
    <t xml:space="preserve">minecraft:piston</t>
  </si>
  <si>
    <t xml:space="preserve">Horno</t>
  </si>
  <si>
    <t xml:space="preserve">minecraft:furnace</t>
  </si>
  <si>
    <t xml:space="preserve">Cofre</t>
  </si>
  <si>
    <t xml:space="preserve">minecraft:chest</t>
  </si>
  <si>
    <t xml:space="preserve">Caldero</t>
  </si>
  <si>
    <t xml:space="preserve">minecraft:cauldron</t>
  </si>
  <si>
    <t xml:space="preserve">Tablones</t>
  </si>
  <si>
    <t xml:space="preserve">minecraft:oak_planks</t>
  </si>
  <si>
    <t xml:space="preserve">Barras de hierro</t>
  </si>
  <si>
    <t xml:space="preserve">minecraft:iron_bars</t>
  </si>
  <si>
    <t xml:space="preserve">Telar vanilla</t>
  </si>
  <si>
    <t xml:space="preserve">minecraft:loom</t>
  </si>
  <si>
    <t xml:space="preserve">Soporte de armadura</t>
  </si>
  <si>
    <t xml:space="preserve">minecraft:armor_stand</t>
  </si>
  <si>
    <t xml:space="preserve">Tolva</t>
  </si>
  <si>
    <t xml:space="preserve">minecraft:hopper</t>
  </si>
  <si>
    <t xml:space="preserve">Tinte cian</t>
  </si>
  <si>
    <t xml:space="preserve">minecraft:cyan_dye</t>
  </si>
  <si>
    <t xml:space="preserve">Tinte magenta</t>
  </si>
  <si>
    <t xml:space="preserve">minecraft:magenta_dye</t>
  </si>
  <si>
    <t xml:space="preserve">Tinte amarillo</t>
  </si>
  <si>
    <t xml:space="preserve">minecraft:yellow_dye</t>
  </si>
  <si>
    <t xml:space="preserve">Tinte negro</t>
  </si>
  <si>
    <t xml:space="preserve">minecraft:black_dye</t>
  </si>
  <si>
    <t xml:space="preserve">Remera (ítem del mod)</t>
  </si>
  <si>
    <t xml:space="preserve">Pantalón (ítem del mod)</t>
  </si>
  <si>
    <t xml:space="preserve">Pollera (ítem del mod)</t>
  </si>
  <si>
    <t xml:space="preserve">Delantal (ítem del mod)</t>
  </si>
  <si>
    <t xml:space="preserve">Capa (ítem del mod)</t>
  </si>
  <si>
    <t xml:space="preserve">Cinto (ítem del mod)</t>
  </si>
  <si>
    <t xml:space="preserve">modamod:banda (cintura)</t>
  </si>
  <si>
    <t xml:space="preserve">Collar (ítem del mod)</t>
  </si>
  <si>
    <t xml:space="preserve">modamod:banda (cuello)</t>
  </si>
  <si>
    <t xml:space="preserve">Podés inventar letras nuevas: agregalas acá para acordarte de qué son.</t>
  </si>
  <si>
    <t xml:space="preserve">Decisiones pendientes</t>
  </si>
  <si>
    <t xml:space="preserve">#</t>
  </si>
  <si>
    <t xml:space="preserve">Pregunta</t>
  </si>
  <si>
    <t xml:space="preserve">Tu respuesta</t>
  </si>
  <si>
    <t xml:space="preserve">¿A mano solo sale blanca y el color viene del Telar o de Tintes?</t>
  </si>
  <si>
    <t xml:space="preserve">¿Los moldes se craftean o siguen solo en creativa?</t>
  </si>
  <si>
    <t xml:space="preserve">¿Las máquinas llevan prendas como insumo (remera en Tintes, etc.)?</t>
  </si>
  <si>
    <t xml:space="preserve">¿Rendimiento 1 por receta o más para las chicas (medias, calientabrazos, vincha)?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</si>
</sst>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;\-0.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3A24"/>
        <bgColor rgb="FF333300"/>
      </patternFill>
    </fill>
    <fill>
      <patternFill patternType="solid">
        <fgColor rgb="FFFFFF99"/>
        <bgColor rgb="FFF2EBDD"/>
      </patternFill>
    </fill>
    <fill>
      <patternFill patternType="solid">
        <fgColor rgb="FFF2EBD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A987"/>
      </left>
      <right style="thin">
        <color rgb="FFBBA987"/>
      </right>
      <top style="medium">
        <color rgb="FF5A3A24"/>
      </top>
      <bottom style="thin">
        <color rgb="FFBBA987"/>
      </bottom>
      <diagonal/>
    </border>
    <border diagonalUp="false" diagonalDown="false">
      <left style="thin">
        <color rgb="FFBBA987"/>
      </left>
      <right style="thin">
        <color rgb="FFBBA987"/>
      </right>
      <top style="thin">
        <color rgb="FFBBA987"/>
      </top>
      <bottom style="thin">
        <color rgb="FFBBA98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EB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BA987"/>
      <rgbColor rgb="FF003366"/>
      <rgbColor rgb="FF339966"/>
      <rgbColor rgb="FF003300"/>
      <rgbColor rgb="FF333300"/>
      <rgbColor rgb="FF993300"/>
      <rgbColor rgb="FF993366"/>
      <rgbColor rgb="FF333399"/>
      <rgbColor rgb="FF5A3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12" min="4" style="0" width="5"/>
    <col collapsed="false" customWidth="true" hidden="false" outlineLevel="0" max="14" min="13" style="0" width="11"/>
    <col collapsed="false" customWidth="true" hidden="false" outlineLevel="0" max="17" min="15" style="0" width="7"/>
    <col collapsed="false" customWidth="true" hidden="false" outlineLevel="0" max="18" min="18" style="0" width="10"/>
    <col collapsed="false" customWidth="true" hidden="false" outlineLevel="0" max="21" min="19" style="0" width="8"/>
    <col collapsed="false" customWidth="true" hidden="false" outlineLevel="0" max="24" min="22" style="0" width="9"/>
    <col collapsed="false" customWidth="true" hidden="false" outlineLevel="0" max="25" min="25" style="0" width="5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true" outlineLevel="0" collapsed="false">
      <c r="A3" s="3" t="s">
        <v>2</v>
      </c>
      <c r="D3" s="4" t="s">
        <v>3</v>
      </c>
      <c r="E3" s="4"/>
      <c r="F3" s="4"/>
      <c r="G3" s="4" t="s">
        <v>4</v>
      </c>
      <c r="H3" s="4"/>
      <c r="I3" s="4"/>
      <c r="J3" s="4" t="s">
        <v>5</v>
      </c>
      <c r="K3" s="4"/>
      <c r="L3" s="4"/>
    </row>
    <row r="4" customFormat="false" ht="30" hidden="false" customHeight="tru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</row>
    <row r="5" customFormat="false" ht="23.85" hidden="false" customHeight="false" outlineLevel="0" collapsed="false">
      <c r="A5" s="6" t="s">
        <v>31</v>
      </c>
      <c r="B5" s="7" t="s">
        <v>32</v>
      </c>
      <c r="C5" s="6" t="s">
        <v>33</v>
      </c>
      <c r="D5" s="8" t="s">
        <v>34</v>
      </c>
      <c r="E5" s="8"/>
      <c r="F5" s="8" t="s">
        <v>34</v>
      </c>
      <c r="G5" s="8" t="s">
        <v>34</v>
      </c>
      <c r="H5" s="8" t="s">
        <v>34</v>
      </c>
      <c r="I5" s="8" t="s">
        <v>34</v>
      </c>
      <c r="J5" s="8" t="s">
        <v>34</v>
      </c>
      <c r="K5" s="8" t="s">
        <v>34</v>
      </c>
      <c r="L5" s="8" t="s">
        <v>34</v>
      </c>
      <c r="M5" s="8" t="s">
        <v>35</v>
      </c>
      <c r="N5" s="8" t="n">
        <v>1</v>
      </c>
      <c r="O5" s="9" t="n">
        <f aca="false">COUNTIF($D5:$L5,"W")+COUNTIF($D5:$L5,"B")</f>
        <v>8</v>
      </c>
      <c r="P5" s="9" t="n">
        <f aca="false">COUNTIF($D5:$L5,"S")</f>
        <v>0</v>
      </c>
      <c r="Q5" s="9" t="n">
        <f aca="false">COUNTIF($D5:$L5,"L")</f>
        <v>0</v>
      </c>
      <c r="R5" s="9" t="n">
        <f aca="false">COUNTA($D5:$L5)-O5-P5-Q5</f>
        <v>0</v>
      </c>
      <c r="S5" s="10" t="n">
        <f aca="false">IF($N5&gt;0,O5/$N5,0)</f>
        <v>8</v>
      </c>
      <c r="T5" s="10" t="n">
        <f aca="false">IF($N5&gt;0,P5/$N5,0)</f>
        <v>0</v>
      </c>
      <c r="U5" s="10" t="n">
        <f aca="false">IF($N5&gt;0,Q5/$N5,0)</f>
        <v>0</v>
      </c>
      <c r="V5" s="11" t="n">
        <v>4</v>
      </c>
      <c r="W5" s="11" t="n">
        <v>2</v>
      </c>
      <c r="X5" s="11" t="n">
        <v>0</v>
      </c>
      <c r="Y5" s="6" t="s">
        <v>36</v>
      </c>
    </row>
    <row r="6" customFormat="false" ht="15" hidden="false" customHeight="false" outlineLevel="0" collapsed="false">
      <c r="A6" s="12" t="s">
        <v>31</v>
      </c>
      <c r="B6" s="13" t="s">
        <v>37</v>
      </c>
      <c r="C6" s="12" t="s">
        <v>38</v>
      </c>
      <c r="D6" s="14" t="s">
        <v>34</v>
      </c>
      <c r="E6" s="14" t="s">
        <v>34</v>
      </c>
      <c r="F6" s="14" t="s">
        <v>34</v>
      </c>
      <c r="G6" s="14" t="s">
        <v>34</v>
      </c>
      <c r="H6" s="14"/>
      <c r="I6" s="14" t="s">
        <v>34</v>
      </c>
      <c r="J6" s="14" t="s">
        <v>34</v>
      </c>
      <c r="K6" s="14"/>
      <c r="L6" s="14" t="s">
        <v>34</v>
      </c>
      <c r="M6" s="14" t="s">
        <v>35</v>
      </c>
      <c r="N6" s="14" t="n">
        <v>1</v>
      </c>
      <c r="O6" s="15" t="n">
        <f aca="false">COUNTIF($D6:$L6,"W")+COUNTIF($D6:$L6,"B")</f>
        <v>7</v>
      </c>
      <c r="P6" s="15" t="n">
        <f aca="false">COUNTIF($D6:$L6,"S")</f>
        <v>0</v>
      </c>
      <c r="Q6" s="15" t="n">
        <f aca="false">COUNTIF($D6:$L6,"L")</f>
        <v>0</v>
      </c>
      <c r="R6" s="15" t="n">
        <f aca="false">COUNTA($D6:$L6)-O6-P6-Q6</f>
        <v>0</v>
      </c>
      <c r="S6" s="16" t="n">
        <f aca="false">IF($N6&gt;0,O6/$N6,0)</f>
        <v>7</v>
      </c>
      <c r="T6" s="16" t="n">
        <f aca="false">IF($N6&gt;0,P6/$N6,0)</f>
        <v>0</v>
      </c>
      <c r="U6" s="16" t="n">
        <f aca="false">IF($N6&gt;0,Q6/$N6,0)</f>
        <v>0</v>
      </c>
      <c r="V6" s="17" t="n">
        <v>5</v>
      </c>
      <c r="W6" s="17" t="n">
        <v>2</v>
      </c>
      <c r="X6" s="17" t="n">
        <v>0</v>
      </c>
      <c r="Y6" s="12" t="s">
        <v>39</v>
      </c>
    </row>
    <row r="7" customFormat="false" ht="15" hidden="false" customHeight="false" outlineLevel="0" collapsed="false">
      <c r="A7" s="12" t="s">
        <v>31</v>
      </c>
      <c r="B7" s="13" t="s">
        <v>40</v>
      </c>
      <c r="C7" s="12" t="s">
        <v>41</v>
      </c>
      <c r="D7" s="14"/>
      <c r="E7" s="14" t="s">
        <v>34</v>
      </c>
      <c r="F7" s="14"/>
      <c r="G7" s="14"/>
      <c r="H7" s="14" t="s">
        <v>42</v>
      </c>
      <c r="I7" s="14"/>
      <c r="J7" s="14"/>
      <c r="K7" s="14" t="s">
        <v>34</v>
      </c>
      <c r="L7" s="14"/>
      <c r="M7" s="14" t="s">
        <v>35</v>
      </c>
      <c r="N7" s="14" t="n">
        <v>1</v>
      </c>
      <c r="O7" s="15" t="n">
        <f aca="false">COUNTIF($D7:$L7,"W")+COUNTIF($D7:$L7,"B")</f>
        <v>2</v>
      </c>
      <c r="P7" s="15" t="n">
        <f aca="false">COUNTIF($D7:$L7,"S")</f>
        <v>1</v>
      </c>
      <c r="Q7" s="15" t="n">
        <f aca="false">COUNTIF($D7:$L7,"L")</f>
        <v>0</v>
      </c>
      <c r="R7" s="15" t="n">
        <f aca="false">COUNTA($D7:$L7)-O7-P7-Q7</f>
        <v>0</v>
      </c>
      <c r="S7" s="16" t="n">
        <f aca="false">IF($N7&gt;0,O7/$N7,0)</f>
        <v>2</v>
      </c>
      <c r="T7" s="16" t="n">
        <f aca="false">IF($N7&gt;0,P7/$N7,0)</f>
        <v>1</v>
      </c>
      <c r="U7" s="16" t="n">
        <f aca="false">IF($N7&gt;0,Q7/$N7,0)</f>
        <v>0</v>
      </c>
      <c r="V7" s="17" t="n">
        <v>2</v>
      </c>
      <c r="W7" s="17" t="n">
        <v>1</v>
      </c>
      <c r="X7" s="17" t="n">
        <v>0</v>
      </c>
      <c r="Y7" s="12" t="s">
        <v>43</v>
      </c>
    </row>
    <row r="8" customFormat="false" ht="15" hidden="false" customHeight="false" outlineLevel="0" collapsed="false">
      <c r="A8" s="12" t="s">
        <v>31</v>
      </c>
      <c r="B8" s="13" t="s">
        <v>44</v>
      </c>
      <c r="C8" s="12" t="s">
        <v>45</v>
      </c>
      <c r="D8" s="14"/>
      <c r="E8" s="14" t="s">
        <v>34</v>
      </c>
      <c r="F8" s="14"/>
      <c r="G8" s="14"/>
      <c r="H8" s="14" t="s">
        <v>34</v>
      </c>
      <c r="I8" s="14"/>
      <c r="J8" s="14"/>
      <c r="K8" s="14"/>
      <c r="L8" s="14"/>
      <c r="M8" s="14" t="s">
        <v>35</v>
      </c>
      <c r="N8" s="14" t="n">
        <v>1</v>
      </c>
      <c r="O8" s="15" t="n">
        <f aca="false">COUNTIF($D8:$L8,"W")+COUNTIF($D8:$L8,"B")</f>
        <v>2</v>
      </c>
      <c r="P8" s="15" t="n">
        <f aca="false">COUNTIF($D8:$L8,"S")</f>
        <v>0</v>
      </c>
      <c r="Q8" s="15" t="n">
        <f aca="false">COUNTIF($D8:$L8,"L")</f>
        <v>0</v>
      </c>
      <c r="R8" s="15" t="n">
        <f aca="false">COUNTA($D8:$L8)-O8-P8-Q8</f>
        <v>0</v>
      </c>
      <c r="S8" s="16" t="n">
        <f aca="false">IF($N8&gt;0,O8/$N8,0)</f>
        <v>2</v>
      </c>
      <c r="T8" s="16" t="n">
        <f aca="false">IF($N8&gt;0,P8/$N8,0)</f>
        <v>0</v>
      </c>
      <c r="U8" s="16" t="n">
        <f aca="false">IF($N8&gt;0,Q8/$N8,0)</f>
        <v>0</v>
      </c>
      <c r="V8" s="17" t="n">
        <v>2</v>
      </c>
      <c r="W8" s="17" t="n">
        <v>1</v>
      </c>
      <c r="X8" s="17" t="n">
        <v>0</v>
      </c>
      <c r="Y8" s="12" t="s">
        <v>46</v>
      </c>
    </row>
    <row r="9" customFormat="false" ht="15" hidden="false" customHeight="false" outlineLevel="0" collapsed="false">
      <c r="A9" s="12" t="s">
        <v>31</v>
      </c>
      <c r="B9" s="13" t="s">
        <v>47</v>
      </c>
      <c r="C9" s="12" t="s">
        <v>48</v>
      </c>
      <c r="D9" s="14" t="s">
        <v>42</v>
      </c>
      <c r="E9" s="14" t="s">
        <v>42</v>
      </c>
      <c r="F9" s="14" t="s">
        <v>42</v>
      </c>
      <c r="G9" s="14" t="s">
        <v>34</v>
      </c>
      <c r="H9" s="14" t="s">
        <v>34</v>
      </c>
      <c r="I9" s="14" t="s">
        <v>34</v>
      </c>
      <c r="J9" s="14" t="s">
        <v>34</v>
      </c>
      <c r="K9" s="14" t="s">
        <v>34</v>
      </c>
      <c r="L9" s="14" t="s">
        <v>34</v>
      </c>
      <c r="M9" s="14" t="s">
        <v>35</v>
      </c>
      <c r="N9" s="14" t="n">
        <v>1</v>
      </c>
      <c r="O9" s="15" t="n">
        <f aca="false">COUNTIF($D9:$L9,"W")+COUNTIF($D9:$L9,"B")</f>
        <v>6</v>
      </c>
      <c r="P9" s="15" t="n">
        <f aca="false">COUNTIF($D9:$L9,"S")</f>
        <v>3</v>
      </c>
      <c r="Q9" s="15" t="n">
        <f aca="false">COUNTIF($D9:$L9,"L")</f>
        <v>0</v>
      </c>
      <c r="R9" s="15" t="n">
        <f aca="false">COUNTA($D9:$L9)-O9-P9-Q9</f>
        <v>0</v>
      </c>
      <c r="S9" s="16" t="n">
        <f aca="false">IF($N9&gt;0,O9/$N9,0)</f>
        <v>6</v>
      </c>
      <c r="T9" s="16" t="n">
        <f aca="false">IF($N9&gt;0,P9/$N9,0)</f>
        <v>3</v>
      </c>
      <c r="U9" s="16" t="n">
        <f aca="false">IF($N9&gt;0,Q9/$N9,0)</f>
        <v>0</v>
      </c>
      <c r="V9" s="17" t="n">
        <v>3</v>
      </c>
      <c r="W9" s="17" t="n">
        <v>2</v>
      </c>
      <c r="X9" s="17" t="n">
        <v>0</v>
      </c>
      <c r="Y9" s="12" t="s">
        <v>49</v>
      </c>
    </row>
    <row r="10" customFormat="false" ht="15" hidden="false" customHeight="false" outlineLevel="0" collapsed="false">
      <c r="A10" s="12" t="s">
        <v>31</v>
      </c>
      <c r="B10" s="13" t="s">
        <v>50</v>
      </c>
      <c r="C10" s="12" t="s">
        <v>51</v>
      </c>
      <c r="D10" s="14" t="s">
        <v>42</v>
      </c>
      <c r="E10" s="14" t="s">
        <v>34</v>
      </c>
      <c r="F10" s="14" t="s">
        <v>42</v>
      </c>
      <c r="G10" s="14" t="s">
        <v>34</v>
      </c>
      <c r="H10" s="14" t="s">
        <v>34</v>
      </c>
      <c r="I10" s="14" t="s">
        <v>34</v>
      </c>
      <c r="J10" s="14" t="s">
        <v>34</v>
      </c>
      <c r="K10" s="14" t="s">
        <v>34</v>
      </c>
      <c r="L10" s="14" t="s">
        <v>34</v>
      </c>
      <c r="M10" s="14" t="s">
        <v>35</v>
      </c>
      <c r="N10" s="14" t="n">
        <v>1</v>
      </c>
      <c r="O10" s="15" t="n">
        <f aca="false">COUNTIF($D10:$L10,"W")+COUNTIF($D10:$L10,"B")</f>
        <v>7</v>
      </c>
      <c r="P10" s="15" t="n">
        <f aca="false">COUNTIF($D10:$L10,"S")</f>
        <v>2</v>
      </c>
      <c r="Q10" s="15" t="n">
        <f aca="false">COUNTIF($D10:$L10,"L")</f>
        <v>0</v>
      </c>
      <c r="R10" s="15" t="n">
        <f aca="false">COUNTA($D10:$L10)-O10-P10-Q10</f>
        <v>0</v>
      </c>
      <c r="S10" s="16" t="n">
        <f aca="false">IF($N10&gt;0,O10/$N10,0)</f>
        <v>7</v>
      </c>
      <c r="T10" s="16" t="n">
        <f aca="false">IF($N10&gt;0,P10/$N10,0)</f>
        <v>2</v>
      </c>
      <c r="U10" s="16" t="n">
        <f aca="false">IF($N10&gt;0,Q10/$N10,0)</f>
        <v>0</v>
      </c>
      <c r="V10" s="17" t="n">
        <v>6</v>
      </c>
      <c r="W10" s="17" t="n">
        <v>3</v>
      </c>
      <c r="X10" s="17" t="n">
        <v>0</v>
      </c>
      <c r="Y10" s="12" t="s">
        <v>52</v>
      </c>
    </row>
    <row r="11" customFormat="false" ht="15" hidden="false" customHeight="false" outlineLevel="0" collapsed="false">
      <c r="A11" s="12" t="s">
        <v>31</v>
      </c>
      <c r="B11" s="13" t="s">
        <v>53</v>
      </c>
      <c r="C11" s="12" t="s">
        <v>54</v>
      </c>
      <c r="D11" s="14"/>
      <c r="E11" s="14" t="s">
        <v>34</v>
      </c>
      <c r="F11" s="14"/>
      <c r="G11" s="14" t="s">
        <v>34</v>
      </c>
      <c r="H11" s="14" t="s">
        <v>34</v>
      </c>
      <c r="I11" s="14" t="s">
        <v>34</v>
      </c>
      <c r="J11" s="14" t="s">
        <v>34</v>
      </c>
      <c r="K11" s="14" t="s">
        <v>34</v>
      </c>
      <c r="L11" s="14" t="s">
        <v>34</v>
      </c>
      <c r="M11" s="14" t="s">
        <v>35</v>
      </c>
      <c r="N11" s="14" t="n">
        <v>1</v>
      </c>
      <c r="O11" s="15" t="n">
        <f aca="false">COUNTIF($D11:$L11,"W")+COUNTIF($D11:$L11,"B")</f>
        <v>7</v>
      </c>
      <c r="P11" s="15" t="n">
        <f aca="false">COUNTIF($D11:$L11,"S")</f>
        <v>0</v>
      </c>
      <c r="Q11" s="15" t="n">
        <f aca="false">COUNTIF($D11:$L11,"L")</f>
        <v>0</v>
      </c>
      <c r="R11" s="15" t="n">
        <f aca="false">COUNTA($D11:$L11)-O11-P11-Q11</f>
        <v>0</v>
      </c>
      <c r="S11" s="16" t="n">
        <f aca="false">IF($N11&gt;0,O11/$N11,0)</f>
        <v>7</v>
      </c>
      <c r="T11" s="16" t="n">
        <f aca="false">IF($N11&gt;0,P11/$N11,0)</f>
        <v>0</v>
      </c>
      <c r="U11" s="16" t="n">
        <f aca="false">IF($N11&gt;0,Q11/$N11,0)</f>
        <v>0</v>
      </c>
      <c r="V11" s="17" t="n">
        <v>3</v>
      </c>
      <c r="W11" s="17" t="n">
        <v>2</v>
      </c>
      <c r="X11" s="17" t="n">
        <v>0</v>
      </c>
      <c r="Y11" s="12" t="s">
        <v>55</v>
      </c>
    </row>
    <row r="12" customFormat="false" ht="15" hidden="false" customHeight="false" outlineLevel="0" collapsed="false">
      <c r="A12" s="12" t="s">
        <v>31</v>
      </c>
      <c r="B12" s="13" t="s">
        <v>56</v>
      </c>
      <c r="C12" s="12" t="s">
        <v>57</v>
      </c>
      <c r="D12" s="14" t="s">
        <v>34</v>
      </c>
      <c r="E12" s="14" t="s">
        <v>34</v>
      </c>
      <c r="F12" s="14" t="s">
        <v>34</v>
      </c>
      <c r="G12" s="14" t="s">
        <v>42</v>
      </c>
      <c r="H12" s="14"/>
      <c r="I12" s="14" t="s">
        <v>42</v>
      </c>
      <c r="J12" s="14"/>
      <c r="K12" s="14"/>
      <c r="L12" s="14"/>
      <c r="M12" s="14" t="s">
        <v>35</v>
      </c>
      <c r="N12" s="14" t="n">
        <v>1</v>
      </c>
      <c r="O12" s="15" t="n">
        <f aca="false">COUNTIF($D12:$L12,"W")+COUNTIF($D12:$L12,"B")</f>
        <v>3</v>
      </c>
      <c r="P12" s="15" t="n">
        <f aca="false">COUNTIF($D12:$L12,"S")</f>
        <v>2</v>
      </c>
      <c r="Q12" s="15" t="n">
        <f aca="false">COUNTIF($D12:$L12,"L")</f>
        <v>0</v>
      </c>
      <c r="R12" s="15" t="n">
        <f aca="false">COUNTA($D12:$L12)-O12-P12-Q12</f>
        <v>0</v>
      </c>
      <c r="S12" s="16" t="n">
        <f aca="false">IF($N12&gt;0,O12/$N12,0)</f>
        <v>3</v>
      </c>
      <c r="T12" s="16" t="n">
        <f aca="false">IF($N12&gt;0,P12/$N12,0)</f>
        <v>2</v>
      </c>
      <c r="U12" s="16" t="n">
        <f aca="false">IF($N12&gt;0,Q12/$N12,0)</f>
        <v>0</v>
      </c>
      <c r="V12" s="17" t="n">
        <v>1</v>
      </c>
      <c r="W12" s="17" t="n">
        <v>1</v>
      </c>
      <c r="X12" s="17" t="n">
        <v>0</v>
      </c>
      <c r="Y12" s="12" t="s">
        <v>43</v>
      </c>
    </row>
    <row r="13" customFormat="false" ht="15" hidden="false" customHeight="false" outlineLevel="0" collapsed="false">
      <c r="A13" s="12" t="s">
        <v>31</v>
      </c>
      <c r="B13" s="13" t="s">
        <v>58</v>
      </c>
      <c r="C13" s="12" t="s">
        <v>59</v>
      </c>
      <c r="D13" s="14" t="s">
        <v>42</v>
      </c>
      <c r="E13" s="14" t="s">
        <v>34</v>
      </c>
      <c r="F13" s="14" t="s">
        <v>42</v>
      </c>
      <c r="G13" s="14" t="s">
        <v>34</v>
      </c>
      <c r="H13" s="14" t="s">
        <v>34</v>
      </c>
      <c r="I13" s="14" t="s">
        <v>34</v>
      </c>
      <c r="J13" s="14"/>
      <c r="K13" s="14"/>
      <c r="L13" s="14"/>
      <c r="M13" s="14" t="s">
        <v>35</v>
      </c>
      <c r="N13" s="14" t="n">
        <v>1</v>
      </c>
      <c r="O13" s="15" t="n">
        <f aca="false">COUNTIF($D13:$L13,"W")+COUNTIF($D13:$L13,"B")</f>
        <v>4</v>
      </c>
      <c r="P13" s="15" t="n">
        <f aca="false">COUNTIF($D13:$L13,"S")</f>
        <v>2</v>
      </c>
      <c r="Q13" s="15" t="n">
        <f aca="false">COUNTIF($D13:$L13,"L")</f>
        <v>0</v>
      </c>
      <c r="R13" s="15" t="n">
        <f aca="false">COUNTA($D13:$L13)-O13-P13-Q13</f>
        <v>0</v>
      </c>
      <c r="S13" s="16" t="n">
        <f aca="false">IF($N13&gt;0,O13/$N13,0)</f>
        <v>4</v>
      </c>
      <c r="T13" s="16" t="n">
        <f aca="false">IF($N13&gt;0,P13/$N13,0)</f>
        <v>2</v>
      </c>
      <c r="U13" s="16" t="n">
        <f aca="false">IF($N13&gt;0,Q13/$N13,0)</f>
        <v>0</v>
      </c>
      <c r="V13" s="17" t="n">
        <v>2</v>
      </c>
      <c r="W13" s="17" t="n">
        <v>1</v>
      </c>
      <c r="X13" s="17" t="n">
        <v>0</v>
      </c>
      <c r="Y13" s="12"/>
    </row>
    <row r="14" customFormat="false" ht="15" hidden="false" customHeight="false" outlineLevel="0" collapsed="false">
      <c r="A14" s="12" t="s">
        <v>31</v>
      </c>
      <c r="B14" s="13" t="s">
        <v>60</v>
      </c>
      <c r="C14" s="12" t="s">
        <v>61</v>
      </c>
      <c r="D14" s="14"/>
      <c r="E14" s="14" t="s">
        <v>62</v>
      </c>
      <c r="F14" s="14"/>
      <c r="G14" s="14"/>
      <c r="H14" s="14" t="s">
        <v>62</v>
      </c>
      <c r="I14" s="14"/>
      <c r="J14" s="14" t="s">
        <v>63</v>
      </c>
      <c r="K14" s="14" t="s">
        <v>63</v>
      </c>
      <c r="L14" s="14" t="s">
        <v>63</v>
      </c>
      <c r="M14" s="14" t="s">
        <v>35</v>
      </c>
      <c r="N14" s="14" t="n">
        <v>1</v>
      </c>
      <c r="O14" s="15" t="n">
        <f aca="false">COUNTIF($D14:$L14,"W")+COUNTIF($D14:$L14,"B")</f>
        <v>2</v>
      </c>
      <c r="P14" s="15" t="n">
        <f aca="false">COUNTIF($D14:$L14,"S")</f>
        <v>0</v>
      </c>
      <c r="Q14" s="15" t="n">
        <f aca="false">COUNTIF($D14:$L14,"L")</f>
        <v>3</v>
      </c>
      <c r="R14" s="15" t="n">
        <f aca="false">COUNTA($D14:$L14)-O14-P14-Q14</f>
        <v>0</v>
      </c>
      <c r="S14" s="16" t="n">
        <f aca="false">IF($N14&gt;0,O14/$N14,0)</f>
        <v>2</v>
      </c>
      <c r="T14" s="16" t="n">
        <f aca="false">IF($N14&gt;0,P14/$N14,0)</f>
        <v>0</v>
      </c>
      <c r="U14" s="16" t="n">
        <f aca="false">IF($N14&gt;0,Q14/$N14,0)</f>
        <v>3</v>
      </c>
      <c r="V14" s="17" t="n">
        <v>4</v>
      </c>
      <c r="W14" s="17" t="n">
        <v>2</v>
      </c>
      <c r="X14" s="17" t="n">
        <v>1</v>
      </c>
      <c r="Y14" s="12" t="s">
        <v>64</v>
      </c>
    </row>
    <row r="15" customFormat="false" ht="15" hidden="false" customHeight="false" outlineLevel="0" collapsed="false">
      <c r="A15" s="12" t="s">
        <v>31</v>
      </c>
      <c r="B15" s="13" t="s">
        <v>65</v>
      </c>
      <c r="C15" s="12" t="s">
        <v>66</v>
      </c>
      <c r="D15" s="14" t="s">
        <v>63</v>
      </c>
      <c r="E15" s="14" t="s">
        <v>63</v>
      </c>
      <c r="F15" s="14" t="s">
        <v>63</v>
      </c>
      <c r="G15" s="14"/>
      <c r="H15" s="14" t="s">
        <v>67</v>
      </c>
      <c r="I15" s="14"/>
      <c r="J15" s="14"/>
      <c r="K15" s="14"/>
      <c r="L15" s="14"/>
      <c r="M15" s="14" t="s">
        <v>35</v>
      </c>
      <c r="N15" s="14" t="n">
        <v>1</v>
      </c>
      <c r="O15" s="15" t="n">
        <f aca="false">COUNTIF($D15:$L15,"W")+COUNTIF($D15:$L15,"B")</f>
        <v>0</v>
      </c>
      <c r="P15" s="15" t="n">
        <f aca="false">COUNTIF($D15:$L15,"S")</f>
        <v>0</v>
      </c>
      <c r="Q15" s="15" t="n">
        <f aca="false">COUNTIF($D15:$L15,"L")</f>
        <v>3</v>
      </c>
      <c r="R15" s="15" t="n">
        <f aca="false">COUNTA($D15:$L15)-O15-P15-Q15</f>
        <v>1</v>
      </c>
      <c r="S15" s="16" t="n">
        <f aca="false">IF($N15&gt;0,O15/$N15,0)</f>
        <v>0</v>
      </c>
      <c r="T15" s="16" t="n">
        <f aca="false">IF($N15&gt;0,P15/$N15,0)</f>
        <v>0</v>
      </c>
      <c r="U15" s="16" t="n">
        <f aca="false">IF($N15&gt;0,Q15/$N15,0)</f>
        <v>3</v>
      </c>
      <c r="V15" s="17" t="n">
        <v>0</v>
      </c>
      <c r="W15" s="17" t="n">
        <v>1</v>
      </c>
      <c r="X15" s="17" t="n">
        <v>2</v>
      </c>
      <c r="Y15" s="12" t="s">
        <v>68</v>
      </c>
    </row>
    <row r="16" customFormat="false" ht="15" hidden="false" customHeight="false" outlineLevel="0" collapsed="false">
      <c r="A16" s="12" t="s">
        <v>31</v>
      </c>
      <c r="B16" s="13" t="s">
        <v>69</v>
      </c>
      <c r="C16" s="12" t="s">
        <v>70</v>
      </c>
      <c r="D16" s="14" t="s">
        <v>42</v>
      </c>
      <c r="E16" s="14"/>
      <c r="F16" s="14" t="s">
        <v>42</v>
      </c>
      <c r="G16" s="14" t="s">
        <v>63</v>
      </c>
      <c r="H16" s="14" t="s">
        <v>67</v>
      </c>
      <c r="I16" s="14" t="s">
        <v>63</v>
      </c>
      <c r="J16" s="14"/>
      <c r="K16" s="14"/>
      <c r="L16" s="14"/>
      <c r="M16" s="14" t="s">
        <v>35</v>
      </c>
      <c r="N16" s="14" t="n">
        <v>1</v>
      </c>
      <c r="O16" s="15" t="n">
        <f aca="false">COUNTIF($D16:$L16,"W")+COUNTIF($D16:$L16,"B")</f>
        <v>0</v>
      </c>
      <c r="P16" s="15" t="n">
        <f aca="false">COUNTIF($D16:$L16,"S")</f>
        <v>2</v>
      </c>
      <c r="Q16" s="15" t="n">
        <f aca="false">COUNTIF($D16:$L16,"L")</f>
        <v>2</v>
      </c>
      <c r="R16" s="15" t="n">
        <f aca="false">COUNTA($D16:$L16)-O16-P16-Q16</f>
        <v>1</v>
      </c>
      <c r="S16" s="16" t="n">
        <f aca="false">IF($N16&gt;0,O16/$N16,0)</f>
        <v>0</v>
      </c>
      <c r="T16" s="16" t="n">
        <f aca="false">IF($N16&gt;0,P16/$N16,0)</f>
        <v>2</v>
      </c>
      <c r="U16" s="16" t="n">
        <f aca="false">IF($N16&gt;0,Q16/$N16,0)</f>
        <v>2</v>
      </c>
      <c r="V16" s="17" t="n">
        <v>0</v>
      </c>
      <c r="W16" s="17" t="n">
        <v>1</v>
      </c>
      <c r="X16" s="17" t="n">
        <v>1</v>
      </c>
      <c r="Y16" s="12" t="s">
        <v>71</v>
      </c>
    </row>
    <row r="17" customFormat="false" ht="15" hidden="false" customHeight="false" outlineLevel="0" collapsed="false">
      <c r="A17" s="12" t="s">
        <v>31</v>
      </c>
      <c r="B17" s="13" t="s">
        <v>72</v>
      </c>
      <c r="C17" s="12" t="s">
        <v>73</v>
      </c>
      <c r="D17" s="14" t="s">
        <v>42</v>
      </c>
      <c r="E17" s="14"/>
      <c r="F17" s="14" t="s">
        <v>42</v>
      </c>
      <c r="G17" s="14" t="s">
        <v>63</v>
      </c>
      <c r="H17" s="14"/>
      <c r="I17" s="14" t="s">
        <v>63</v>
      </c>
      <c r="J17" s="14" t="s">
        <v>63</v>
      </c>
      <c r="K17" s="14"/>
      <c r="L17" s="14" t="s">
        <v>63</v>
      </c>
      <c r="M17" s="14" t="s">
        <v>35</v>
      </c>
      <c r="N17" s="14" t="n">
        <v>1</v>
      </c>
      <c r="O17" s="15" t="n">
        <f aca="false">COUNTIF($D17:$L17,"W")+COUNTIF($D17:$L17,"B")</f>
        <v>0</v>
      </c>
      <c r="P17" s="15" t="n">
        <f aca="false">COUNTIF($D17:$L17,"S")</f>
        <v>2</v>
      </c>
      <c r="Q17" s="15" t="n">
        <f aca="false">COUNTIF($D17:$L17,"L")</f>
        <v>4</v>
      </c>
      <c r="R17" s="15" t="n">
        <f aca="false">COUNTA($D17:$L17)-O17-P17-Q17</f>
        <v>0</v>
      </c>
      <c r="S17" s="16" t="n">
        <f aca="false">IF($N17&gt;0,O17/$N17,0)</f>
        <v>0</v>
      </c>
      <c r="T17" s="16" t="n">
        <f aca="false">IF($N17&gt;0,P17/$N17,0)</f>
        <v>2</v>
      </c>
      <c r="U17" s="16" t="n">
        <f aca="false">IF($N17&gt;0,Q17/$N17,0)</f>
        <v>4</v>
      </c>
      <c r="V17" s="17" t="n">
        <v>0</v>
      </c>
      <c r="W17" s="17" t="n">
        <v>2</v>
      </c>
      <c r="X17" s="17" t="n">
        <v>4</v>
      </c>
      <c r="Y17" s="12" t="s">
        <v>74</v>
      </c>
    </row>
    <row r="18" customFormat="false" ht="15" hidden="false" customHeight="false" outlineLevel="0" collapsed="false">
      <c r="A18" s="6" t="s">
        <v>75</v>
      </c>
      <c r="B18" s="7" t="s">
        <v>76</v>
      </c>
      <c r="C18" s="6" t="s">
        <v>77</v>
      </c>
      <c r="D18" s="8" t="s">
        <v>78</v>
      </c>
      <c r="E18" s="8" t="s">
        <v>34</v>
      </c>
      <c r="F18" s="8" t="s">
        <v>34</v>
      </c>
      <c r="G18" s="8" t="s">
        <v>34</v>
      </c>
      <c r="H18" s="8"/>
      <c r="I18" s="8"/>
      <c r="J18" s="8"/>
      <c r="K18" s="8"/>
      <c r="L18" s="8"/>
      <c r="M18" s="8" t="s">
        <v>79</v>
      </c>
      <c r="N18" s="8" t="n">
        <v>1</v>
      </c>
      <c r="O18" s="9" t="n">
        <f aca="false">COUNTIF($D18:$L18,"W")+COUNTIF($D18:$L18,"B")</f>
        <v>3</v>
      </c>
      <c r="P18" s="9" t="n">
        <f aca="false">COUNTIF($D18:$L18,"S")</f>
        <v>0</v>
      </c>
      <c r="Q18" s="9" t="n">
        <f aca="false">COUNTIF($D18:$L18,"L")</f>
        <v>0</v>
      </c>
      <c r="R18" s="9" t="n">
        <f aca="false">COUNTA($D18:$L18)-O18-P18-Q18</f>
        <v>1</v>
      </c>
      <c r="S18" s="10" t="n">
        <f aca="false">IF($N18&gt;0,O18/$N18,0)</f>
        <v>3</v>
      </c>
      <c r="T18" s="10" t="n">
        <f aca="false">IF($N18&gt;0,P18/$N18,0)</f>
        <v>0</v>
      </c>
      <c r="U18" s="10" t="n">
        <f aca="false">IF($N18&gt;0,Q18/$N18,0)</f>
        <v>0</v>
      </c>
      <c r="V18" s="18"/>
      <c r="W18" s="18"/>
      <c r="X18" s="18"/>
      <c r="Y18" s="6" t="s">
        <v>80</v>
      </c>
    </row>
    <row r="19" customFormat="false" ht="15" hidden="false" customHeight="false" outlineLevel="0" collapsed="false">
      <c r="A19" s="12" t="s">
        <v>75</v>
      </c>
      <c r="B19" s="13" t="s">
        <v>81</v>
      </c>
      <c r="C19" s="12" t="s">
        <v>82</v>
      </c>
      <c r="D19" s="14" t="s">
        <v>78</v>
      </c>
      <c r="E19" s="14" t="s">
        <v>83</v>
      </c>
      <c r="F19" s="14" t="s">
        <v>84</v>
      </c>
      <c r="G19" s="14"/>
      <c r="H19" s="14"/>
      <c r="I19" s="14"/>
      <c r="J19" s="14"/>
      <c r="K19" s="14"/>
      <c r="L19" s="14"/>
      <c r="M19" s="14" t="s">
        <v>79</v>
      </c>
      <c r="N19" s="14" t="n">
        <v>1</v>
      </c>
      <c r="O19" s="15" t="n">
        <f aca="false">COUNTIF($D19:$L19,"W")+COUNTIF($D19:$L19,"B")</f>
        <v>0</v>
      </c>
      <c r="P19" s="15" t="n">
        <f aca="false">COUNTIF($D19:$L19,"S")</f>
        <v>0</v>
      </c>
      <c r="Q19" s="15" t="n">
        <f aca="false">COUNTIF($D19:$L19,"L")</f>
        <v>0</v>
      </c>
      <c r="R19" s="15" t="n">
        <f aca="false">COUNTA($D19:$L19)-O19-P19-Q19</f>
        <v>3</v>
      </c>
      <c r="S19" s="16" t="n">
        <f aca="false">IF($N19&gt;0,O19/$N19,0)</f>
        <v>0</v>
      </c>
      <c r="T19" s="16" t="n">
        <f aca="false">IF($N19&gt;0,P19/$N19,0)</f>
        <v>0</v>
      </c>
      <c r="U19" s="16" t="n">
        <f aca="false">IF($N19&gt;0,Q19/$N19,0)</f>
        <v>0</v>
      </c>
      <c r="V19" s="19"/>
      <c r="W19" s="19"/>
      <c r="X19" s="19"/>
      <c r="Y19" s="12" t="s">
        <v>85</v>
      </c>
    </row>
    <row r="20" customFormat="false" ht="15" hidden="false" customHeight="false" outlineLevel="0" collapsed="false">
      <c r="A20" s="12" t="s">
        <v>75</v>
      </c>
      <c r="B20" s="13" t="s">
        <v>86</v>
      </c>
      <c r="C20" s="12" t="s">
        <v>87</v>
      </c>
      <c r="D20" s="14" t="s">
        <v>88</v>
      </c>
      <c r="E20" s="14" t="s">
        <v>89</v>
      </c>
      <c r="F20" s="14"/>
      <c r="G20" s="14"/>
      <c r="H20" s="14"/>
      <c r="I20" s="14"/>
      <c r="J20" s="14"/>
      <c r="K20" s="14"/>
      <c r="L20" s="14"/>
      <c r="M20" s="14" t="s">
        <v>79</v>
      </c>
      <c r="N20" s="14" t="n">
        <v>1</v>
      </c>
      <c r="O20" s="15" t="n">
        <f aca="false">COUNTIF($D20:$L20,"W")+COUNTIF($D20:$L20,"B")</f>
        <v>0</v>
      </c>
      <c r="P20" s="15" t="n">
        <f aca="false">COUNTIF($D20:$L20,"S")</f>
        <v>0</v>
      </c>
      <c r="Q20" s="15" t="n">
        <f aca="false">COUNTIF($D20:$L20,"L")</f>
        <v>0</v>
      </c>
      <c r="R20" s="15" t="n">
        <f aca="false">COUNTA($D20:$L20)-O20-P20-Q20</f>
        <v>2</v>
      </c>
      <c r="S20" s="16" t="n">
        <f aca="false">IF($N20&gt;0,O20/$N20,0)</f>
        <v>0</v>
      </c>
      <c r="T20" s="16" t="n">
        <f aca="false">IF($N20&gt;0,P20/$N20,0)</f>
        <v>0</v>
      </c>
      <c r="U20" s="16" t="n">
        <f aca="false">IF($N20&gt;0,Q20/$N20,0)</f>
        <v>0</v>
      </c>
      <c r="V20" s="19"/>
      <c r="W20" s="19"/>
      <c r="X20" s="19"/>
      <c r="Y20" s="12" t="s">
        <v>90</v>
      </c>
    </row>
    <row r="21" customFormat="false" ht="15" hidden="false" customHeight="false" outlineLevel="0" collapsed="false">
      <c r="A21" s="12" t="s">
        <v>75</v>
      </c>
      <c r="B21" s="13" t="s">
        <v>91</v>
      </c>
      <c r="C21" s="12" t="s">
        <v>92</v>
      </c>
      <c r="D21" s="14" t="s">
        <v>93</v>
      </c>
      <c r="E21" s="14" t="s">
        <v>63</v>
      </c>
      <c r="F21" s="14" t="s">
        <v>63</v>
      </c>
      <c r="G21" s="14"/>
      <c r="H21" s="14"/>
      <c r="I21" s="14"/>
      <c r="J21" s="14"/>
      <c r="K21" s="14"/>
      <c r="L21" s="14"/>
      <c r="M21" s="14" t="s">
        <v>79</v>
      </c>
      <c r="N21" s="14" t="n">
        <v>1</v>
      </c>
      <c r="O21" s="15" t="n">
        <f aca="false">COUNTIF($D21:$L21,"W")+COUNTIF($D21:$L21,"B")</f>
        <v>0</v>
      </c>
      <c r="P21" s="15" t="n">
        <f aca="false">COUNTIF($D21:$L21,"S")</f>
        <v>0</v>
      </c>
      <c r="Q21" s="15" t="n">
        <f aca="false">COUNTIF($D21:$L21,"L")</f>
        <v>2</v>
      </c>
      <c r="R21" s="15" t="n">
        <f aca="false">COUNTA($D21:$L21)-O21-P21-Q21</f>
        <v>1</v>
      </c>
      <c r="S21" s="16" t="n">
        <f aca="false">IF($N21&gt;0,O21/$N21,0)</f>
        <v>0</v>
      </c>
      <c r="T21" s="16" t="n">
        <f aca="false">IF($N21&gt;0,P21/$N21,0)</f>
        <v>0</v>
      </c>
      <c r="U21" s="16" t="n">
        <f aca="false">IF($N21&gt;0,Q21/$N21,0)</f>
        <v>2</v>
      </c>
      <c r="V21" s="19"/>
      <c r="W21" s="19"/>
      <c r="X21" s="19"/>
      <c r="Y21" s="12" t="s">
        <v>94</v>
      </c>
    </row>
    <row r="22" customFormat="false" ht="15" hidden="false" customHeight="false" outlineLevel="0" collapsed="false">
      <c r="A22" s="6" t="s">
        <v>95</v>
      </c>
      <c r="B22" s="7" t="s">
        <v>96</v>
      </c>
      <c r="C22" s="6" t="s">
        <v>97</v>
      </c>
      <c r="D22" s="8" t="s">
        <v>42</v>
      </c>
      <c r="E22" s="8" t="s">
        <v>42</v>
      </c>
      <c r="F22" s="8" t="s">
        <v>42</v>
      </c>
      <c r="G22" s="8" t="s">
        <v>34</v>
      </c>
      <c r="H22" s="8" t="s">
        <v>98</v>
      </c>
      <c r="I22" s="8" t="s">
        <v>34</v>
      </c>
      <c r="J22" s="8" t="s">
        <v>99</v>
      </c>
      <c r="K22" s="8" t="s">
        <v>100</v>
      </c>
      <c r="L22" s="8" t="s">
        <v>99</v>
      </c>
      <c r="M22" s="8" t="s">
        <v>35</v>
      </c>
      <c r="N22" s="8" t="n">
        <v>1</v>
      </c>
      <c r="O22" s="9" t="n">
        <f aca="false">COUNTIF($D22:$L22,"W")+COUNTIF($D22:$L22,"B")</f>
        <v>2</v>
      </c>
      <c r="P22" s="9" t="n">
        <f aca="false">COUNTIF($D22:$L22,"S")</f>
        <v>3</v>
      </c>
      <c r="Q22" s="9" t="n">
        <f aca="false">COUNTIF($D22:$L22,"L")</f>
        <v>0</v>
      </c>
      <c r="R22" s="9" t="n">
        <f aca="false">COUNTA($D22:$L22)-O22-P22-Q22</f>
        <v>4</v>
      </c>
      <c r="S22" s="10" t="n">
        <f aca="false">IF($N22&gt;0,O22/$N22,0)</f>
        <v>2</v>
      </c>
      <c r="T22" s="10" t="n">
        <f aca="false">IF($N22&gt;0,P22/$N22,0)</f>
        <v>3</v>
      </c>
      <c r="U22" s="10" t="n">
        <f aca="false">IF($N22&gt;0,Q22/$N22,0)</f>
        <v>0</v>
      </c>
      <c r="V22" s="18"/>
      <c r="W22" s="18"/>
      <c r="X22" s="18"/>
      <c r="Y22" s="6" t="s">
        <v>101</v>
      </c>
    </row>
    <row r="23" customFormat="false" ht="15" hidden="false" customHeight="false" outlineLevel="0" collapsed="false">
      <c r="A23" s="12" t="s">
        <v>95</v>
      </c>
      <c r="B23" s="13" t="s">
        <v>102</v>
      </c>
      <c r="C23" s="12" t="s">
        <v>103</v>
      </c>
      <c r="D23" s="14" t="s">
        <v>104</v>
      </c>
      <c r="E23" s="14" t="s">
        <v>104</v>
      </c>
      <c r="F23" s="14" t="s">
        <v>104</v>
      </c>
      <c r="G23" s="14" t="s">
        <v>42</v>
      </c>
      <c r="H23" s="14" t="s">
        <v>105</v>
      </c>
      <c r="I23" s="14" t="s">
        <v>42</v>
      </c>
      <c r="J23" s="14" t="s">
        <v>100</v>
      </c>
      <c r="K23" s="14" t="s">
        <v>100</v>
      </c>
      <c r="L23" s="14" t="s">
        <v>100</v>
      </c>
      <c r="M23" s="14" t="s">
        <v>35</v>
      </c>
      <c r="N23" s="14" t="n">
        <v>1</v>
      </c>
      <c r="O23" s="15" t="n">
        <f aca="false">COUNTIF($D23:$L23,"W")+COUNTIF($D23:$L23,"B")</f>
        <v>0</v>
      </c>
      <c r="P23" s="15" t="n">
        <f aca="false">COUNTIF($D23:$L23,"S")</f>
        <v>2</v>
      </c>
      <c r="Q23" s="15" t="n">
        <f aca="false">COUNTIF($D23:$L23,"L")</f>
        <v>0</v>
      </c>
      <c r="R23" s="15" t="n">
        <f aca="false">COUNTA($D23:$L23)-O23-P23-Q23</f>
        <v>7</v>
      </c>
      <c r="S23" s="16" t="n">
        <f aca="false">IF($N23&gt;0,O23/$N23,0)</f>
        <v>0</v>
      </c>
      <c r="T23" s="16" t="n">
        <f aca="false">IF($N23&gt;0,P23/$N23,0)</f>
        <v>2</v>
      </c>
      <c r="U23" s="16" t="n">
        <f aca="false">IF($N23&gt;0,Q23/$N23,0)</f>
        <v>0</v>
      </c>
      <c r="V23" s="19"/>
      <c r="W23" s="19"/>
      <c r="X23" s="19"/>
      <c r="Y23" s="12" t="s">
        <v>106</v>
      </c>
    </row>
    <row r="24" customFormat="false" ht="15" hidden="false" customHeight="false" outlineLevel="0" collapsed="false">
      <c r="A24" s="12" t="s">
        <v>95</v>
      </c>
      <c r="B24" s="13" t="s">
        <v>107</v>
      </c>
      <c r="C24" s="12" t="s">
        <v>108</v>
      </c>
      <c r="D24" s="14" t="s">
        <v>109</v>
      </c>
      <c r="E24" s="14" t="s">
        <v>109</v>
      </c>
      <c r="F24" s="14" t="s">
        <v>109</v>
      </c>
      <c r="G24" s="14" t="s">
        <v>109</v>
      </c>
      <c r="H24" s="14" t="s">
        <v>110</v>
      </c>
      <c r="I24" s="14" t="s">
        <v>109</v>
      </c>
      <c r="J24" s="14" t="s">
        <v>109</v>
      </c>
      <c r="K24" s="14" t="s">
        <v>111</v>
      </c>
      <c r="L24" s="14" t="s">
        <v>109</v>
      </c>
      <c r="M24" s="14" t="s">
        <v>35</v>
      </c>
      <c r="N24" s="14" t="n">
        <v>1</v>
      </c>
      <c r="O24" s="15" t="n">
        <f aca="false">COUNTIF($D24:$L24,"W")+COUNTIF($D24:$L24,"B")</f>
        <v>0</v>
      </c>
      <c r="P24" s="15" t="n">
        <f aca="false">COUNTIF($D24:$L24,"S")</f>
        <v>0</v>
      </c>
      <c r="Q24" s="15" t="n">
        <f aca="false">COUNTIF($D24:$L24,"L")</f>
        <v>0</v>
      </c>
      <c r="R24" s="15" t="n">
        <f aca="false">COUNTA($D24:$L24)-O24-P24-Q24</f>
        <v>9</v>
      </c>
      <c r="S24" s="16" t="n">
        <f aca="false">IF($N24&gt;0,O24/$N24,0)</f>
        <v>0</v>
      </c>
      <c r="T24" s="16" t="n">
        <f aca="false">IF($N24&gt;0,P24/$N24,0)</f>
        <v>0</v>
      </c>
      <c r="U24" s="16" t="n">
        <f aca="false">IF($N24&gt;0,Q24/$N24,0)</f>
        <v>0</v>
      </c>
      <c r="V24" s="19"/>
      <c r="W24" s="19"/>
      <c r="X24" s="19"/>
      <c r="Y24" s="12" t="s">
        <v>106</v>
      </c>
    </row>
    <row r="25" customFormat="false" ht="15" hidden="false" customHeight="false" outlineLevel="0" collapsed="false">
      <c r="A25" s="12" t="s">
        <v>95</v>
      </c>
      <c r="B25" s="13" t="s">
        <v>112</v>
      </c>
      <c r="C25" s="12" t="s">
        <v>113</v>
      </c>
      <c r="D25" s="14" t="s">
        <v>114</v>
      </c>
      <c r="E25" s="14" t="s">
        <v>115</v>
      </c>
      <c r="F25" s="14" t="s">
        <v>116</v>
      </c>
      <c r="G25" s="14" t="s">
        <v>117</v>
      </c>
      <c r="H25" s="14" t="s">
        <v>118</v>
      </c>
      <c r="I25" s="14" t="s">
        <v>109</v>
      </c>
      <c r="J25" s="14" t="s">
        <v>109</v>
      </c>
      <c r="K25" s="14" t="s">
        <v>78</v>
      </c>
      <c r="L25" s="14" t="s">
        <v>109</v>
      </c>
      <c r="M25" s="14" t="s">
        <v>35</v>
      </c>
      <c r="N25" s="14" t="n">
        <v>1</v>
      </c>
      <c r="O25" s="15" t="n">
        <f aca="false">COUNTIF($D25:$L25,"W")+COUNTIF($D25:$L25,"B")</f>
        <v>0</v>
      </c>
      <c r="P25" s="15" t="n">
        <f aca="false">COUNTIF($D25:$L25,"S")</f>
        <v>0</v>
      </c>
      <c r="Q25" s="15" t="n">
        <f aca="false">COUNTIF($D25:$L25,"L")</f>
        <v>0</v>
      </c>
      <c r="R25" s="15" t="n">
        <f aca="false">COUNTA($D25:$L25)-O25-P25-Q25</f>
        <v>9</v>
      </c>
      <c r="S25" s="16" t="n">
        <f aca="false">IF($N25&gt;0,O25/$N25,0)</f>
        <v>0</v>
      </c>
      <c r="T25" s="16" t="n">
        <f aca="false">IF($N25&gt;0,P25/$N25,0)</f>
        <v>0</v>
      </c>
      <c r="U25" s="16" t="n">
        <f aca="false">IF($N25&gt;0,Q25/$N25,0)</f>
        <v>0</v>
      </c>
      <c r="V25" s="19"/>
      <c r="W25" s="19"/>
      <c r="X25" s="19"/>
      <c r="Y25" s="12" t="s">
        <v>119</v>
      </c>
    </row>
    <row r="26" customFormat="false" ht="15" hidden="false" customHeight="false" outlineLevel="0" collapsed="false">
      <c r="A26" s="12" t="s">
        <v>95</v>
      </c>
      <c r="B26" s="13" t="s">
        <v>120</v>
      </c>
      <c r="C26" s="12" t="s">
        <v>121</v>
      </c>
      <c r="D26" s="14" t="s">
        <v>42</v>
      </c>
      <c r="E26" s="14" t="s">
        <v>63</v>
      </c>
      <c r="F26" s="14" t="s">
        <v>42</v>
      </c>
      <c r="G26" s="14" t="s">
        <v>105</v>
      </c>
      <c r="H26" s="14" t="s">
        <v>98</v>
      </c>
      <c r="I26" s="14" t="s">
        <v>110</v>
      </c>
      <c r="J26" s="14" t="s">
        <v>109</v>
      </c>
      <c r="K26" s="14" t="s">
        <v>78</v>
      </c>
      <c r="L26" s="14" t="s">
        <v>109</v>
      </c>
      <c r="M26" s="14" t="s">
        <v>35</v>
      </c>
      <c r="N26" s="14" t="n">
        <v>1</v>
      </c>
      <c r="O26" s="15" t="n">
        <f aca="false">COUNTIF($D26:$L26,"W")+COUNTIF($D26:$L26,"B")</f>
        <v>0</v>
      </c>
      <c r="P26" s="15" t="n">
        <f aca="false">COUNTIF($D26:$L26,"S")</f>
        <v>2</v>
      </c>
      <c r="Q26" s="15" t="n">
        <f aca="false">COUNTIF($D26:$L26,"L")</f>
        <v>1</v>
      </c>
      <c r="R26" s="15" t="n">
        <f aca="false">COUNTA($D26:$L26)-O26-P26-Q26</f>
        <v>6</v>
      </c>
      <c r="S26" s="16" t="n">
        <f aca="false">IF($N26&gt;0,O26/$N26,0)</f>
        <v>0</v>
      </c>
      <c r="T26" s="16" t="n">
        <f aca="false">IF($N26&gt;0,P26/$N26,0)</f>
        <v>2</v>
      </c>
      <c r="U26" s="16" t="n">
        <f aca="false">IF($N26&gt;0,Q26/$N26,0)</f>
        <v>1</v>
      </c>
      <c r="V26" s="19"/>
      <c r="W26" s="19"/>
      <c r="X26" s="19"/>
      <c r="Y26" s="12" t="s">
        <v>122</v>
      </c>
    </row>
    <row r="27" customFormat="false" ht="15" hidden="false" customHeight="false" outlineLevel="0" collapsed="false">
      <c r="A27" s="12" t="s">
        <v>95</v>
      </c>
      <c r="B27" s="13" t="s">
        <v>123</v>
      </c>
      <c r="C27" s="12" t="s">
        <v>124</v>
      </c>
      <c r="D27" s="14" t="s">
        <v>100</v>
      </c>
      <c r="E27" s="14" t="s">
        <v>100</v>
      </c>
      <c r="F27" s="14" t="s">
        <v>100</v>
      </c>
      <c r="G27" s="14" t="s">
        <v>78</v>
      </c>
      <c r="H27" s="14" t="s">
        <v>125</v>
      </c>
      <c r="I27" s="14" t="s">
        <v>126</v>
      </c>
      <c r="J27" s="14" t="s">
        <v>127</v>
      </c>
      <c r="K27" s="14" t="s">
        <v>127</v>
      </c>
      <c r="L27" s="14" t="s">
        <v>127</v>
      </c>
      <c r="M27" s="14" t="s">
        <v>35</v>
      </c>
      <c r="N27" s="14" t="n">
        <v>1</v>
      </c>
      <c r="O27" s="15" t="n">
        <f aca="false">COUNTIF($D27:$L27,"W")+COUNTIF($D27:$L27,"B")</f>
        <v>0</v>
      </c>
      <c r="P27" s="15" t="n">
        <f aca="false">COUNTIF($D27:$L27,"S")</f>
        <v>0</v>
      </c>
      <c r="Q27" s="15" t="n">
        <f aca="false">COUNTIF($D27:$L27,"L")</f>
        <v>0</v>
      </c>
      <c r="R27" s="15" t="n">
        <f aca="false">COUNTA($D27:$L27)-O27-P27-Q27</f>
        <v>9</v>
      </c>
      <c r="S27" s="16" t="n">
        <f aca="false">IF($N27&gt;0,O27/$N27,0)</f>
        <v>0</v>
      </c>
      <c r="T27" s="16" t="n">
        <f aca="false">IF($N27&gt;0,P27/$N27,0)</f>
        <v>0</v>
      </c>
      <c r="U27" s="16" t="n">
        <f aca="false">IF($N27&gt;0,Q27/$N27,0)</f>
        <v>0</v>
      </c>
      <c r="V27" s="19"/>
      <c r="W27" s="19"/>
      <c r="X27" s="19"/>
      <c r="Y27" s="12" t="s">
        <v>128</v>
      </c>
    </row>
    <row r="28" customFormat="false" ht="15" hidden="false" customHeight="false" outlineLevel="0" collapsed="false">
      <c r="A28" s="12" t="s">
        <v>95</v>
      </c>
      <c r="B28" s="13" t="s">
        <v>129</v>
      </c>
      <c r="C28" s="12" t="s">
        <v>130</v>
      </c>
      <c r="D28" s="14"/>
      <c r="E28" s="14" t="s">
        <v>78</v>
      </c>
      <c r="F28" s="14"/>
      <c r="G28" s="14"/>
      <c r="H28" s="14" t="s">
        <v>131</v>
      </c>
      <c r="I28" s="14"/>
      <c r="J28" s="14"/>
      <c r="K28" s="14" t="s">
        <v>126</v>
      </c>
      <c r="L28" s="14"/>
      <c r="M28" s="14" t="s">
        <v>35</v>
      </c>
      <c r="N28" s="14" t="n">
        <v>1</v>
      </c>
      <c r="O28" s="15" t="n">
        <f aca="false">COUNTIF($D28:$L28,"W")+COUNTIF($D28:$L28,"B")</f>
        <v>0</v>
      </c>
      <c r="P28" s="15" t="n">
        <f aca="false">COUNTIF($D28:$L28,"S")</f>
        <v>0</v>
      </c>
      <c r="Q28" s="15" t="n">
        <f aca="false">COUNTIF($D28:$L28,"L")</f>
        <v>0</v>
      </c>
      <c r="R28" s="15" t="n">
        <f aca="false">COUNTA($D28:$L28)-O28-P28-Q28</f>
        <v>3</v>
      </c>
      <c r="S28" s="16" t="n">
        <f aca="false">IF($N28&gt;0,O28/$N28,0)</f>
        <v>0</v>
      </c>
      <c r="T28" s="16" t="n">
        <f aca="false">IF($N28&gt;0,P28/$N28,0)</f>
        <v>0</v>
      </c>
      <c r="U28" s="16" t="n">
        <f aca="false">IF($N28&gt;0,Q28/$N28,0)</f>
        <v>0</v>
      </c>
      <c r="V28" s="19"/>
      <c r="W28" s="19"/>
      <c r="X28" s="19"/>
      <c r="Y28" s="12" t="s">
        <v>132</v>
      </c>
    </row>
    <row r="29" customFormat="false" ht="15" hidden="false" customHeight="false" outlineLevel="0" collapsed="false">
      <c r="A29" s="6" t="s">
        <v>133</v>
      </c>
      <c r="B29" s="7" t="s">
        <v>134</v>
      </c>
      <c r="C29" s="6" t="s">
        <v>135</v>
      </c>
      <c r="D29" s="8" t="s">
        <v>63</v>
      </c>
      <c r="E29" s="8" t="s">
        <v>63</v>
      </c>
      <c r="F29" s="8" t="s">
        <v>63</v>
      </c>
      <c r="G29" s="8" t="s">
        <v>109</v>
      </c>
      <c r="H29" s="8" t="s">
        <v>99</v>
      </c>
      <c r="I29" s="8" t="s">
        <v>109</v>
      </c>
      <c r="J29" s="8"/>
      <c r="K29" s="8"/>
      <c r="L29" s="8"/>
      <c r="M29" s="8" t="s">
        <v>35</v>
      </c>
      <c r="N29" s="8" t="n">
        <v>6</v>
      </c>
      <c r="O29" s="9" t="n">
        <f aca="false">COUNTIF($D29:$L29,"W")+COUNTIF($D29:$L29,"B")</f>
        <v>0</v>
      </c>
      <c r="P29" s="9" t="n">
        <f aca="false">COUNTIF($D29:$L29,"S")</f>
        <v>0</v>
      </c>
      <c r="Q29" s="9" t="n">
        <f aca="false">COUNTIF($D29:$L29,"L")</f>
        <v>3</v>
      </c>
      <c r="R29" s="9" t="n">
        <f aca="false">COUNTA($D29:$L29)-O29-P29-Q29</f>
        <v>3</v>
      </c>
      <c r="S29" s="10" t="n">
        <f aca="false">IF($N29&gt;0,O29/$N29,0)</f>
        <v>0</v>
      </c>
      <c r="T29" s="10" t="n">
        <f aca="false">IF($N29&gt;0,P29/$N29,0)</f>
        <v>0</v>
      </c>
      <c r="U29" s="10" t="n">
        <f aca="false">IF($N29&gt;0,Q29/$N29,0)</f>
        <v>0.5</v>
      </c>
      <c r="V29" s="18"/>
      <c r="W29" s="18"/>
      <c r="X29" s="18"/>
      <c r="Y29" s="6" t="s">
        <v>136</v>
      </c>
    </row>
    <row r="30" customFormat="false" ht="15" hidden="false" customHeight="false" outlineLevel="0" collapsed="false">
      <c r="A30" s="12" t="s">
        <v>133</v>
      </c>
      <c r="B30" s="13" t="s">
        <v>137</v>
      </c>
      <c r="C30" s="12" t="s">
        <v>138</v>
      </c>
      <c r="D30" s="14"/>
      <c r="E30" s="14" t="s">
        <v>139</v>
      </c>
      <c r="F30" s="14"/>
      <c r="G30" s="14"/>
      <c r="H30" s="14" t="s">
        <v>140</v>
      </c>
      <c r="I30" s="14"/>
      <c r="J30" s="14"/>
      <c r="K30" s="14" t="s">
        <v>109</v>
      </c>
      <c r="L30" s="14"/>
      <c r="M30" s="14" t="s">
        <v>35</v>
      </c>
      <c r="N30" s="14" t="n">
        <v>1</v>
      </c>
      <c r="O30" s="15" t="n">
        <f aca="false">COUNTIF($D30:$L30,"W")+COUNTIF($D30:$L30,"B")</f>
        <v>0</v>
      </c>
      <c r="P30" s="15" t="n">
        <f aca="false">COUNTIF($D30:$L30,"S")</f>
        <v>0</v>
      </c>
      <c r="Q30" s="15" t="n">
        <f aca="false">COUNTIF($D30:$L30,"L")</f>
        <v>0</v>
      </c>
      <c r="R30" s="15" t="n">
        <f aca="false">COUNTA($D30:$L30)-O30-P30-Q30</f>
        <v>3</v>
      </c>
      <c r="S30" s="16" t="n">
        <f aca="false">IF($N30&gt;0,O30/$N30,0)</f>
        <v>0</v>
      </c>
      <c r="T30" s="16" t="n">
        <f aca="false">IF($N30&gt;0,P30/$N30,0)</f>
        <v>0</v>
      </c>
      <c r="U30" s="16" t="n">
        <f aca="false">IF($N30&gt;0,Q30/$N30,0)</f>
        <v>0</v>
      </c>
      <c r="V30" s="19"/>
      <c r="W30" s="19"/>
      <c r="X30" s="19"/>
      <c r="Y30" s="12" t="s">
        <v>141</v>
      </c>
    </row>
    <row r="31" customFormat="false" ht="15" hidden="false" customHeight="false" outlineLevel="0" collapsed="false">
      <c r="A31" s="6" t="s">
        <v>142</v>
      </c>
      <c r="B31" s="7" t="s">
        <v>143</v>
      </c>
      <c r="C31" s="6" t="s">
        <v>144</v>
      </c>
      <c r="D31" s="8"/>
      <c r="E31" s="8" t="s">
        <v>104</v>
      </c>
      <c r="F31" s="8"/>
      <c r="G31" s="8"/>
      <c r="H31" s="8" t="s">
        <v>42</v>
      </c>
      <c r="I31" s="8"/>
      <c r="J31" s="8"/>
      <c r="K31" s="8"/>
      <c r="L31" s="8"/>
      <c r="M31" s="8" t="s">
        <v>79</v>
      </c>
      <c r="N31" s="8" t="n">
        <v>1</v>
      </c>
      <c r="O31" s="9" t="n">
        <f aca="false">COUNTIF($D31:$L31,"W")+COUNTIF($D31:$L31,"B")</f>
        <v>0</v>
      </c>
      <c r="P31" s="9" t="n">
        <f aca="false">COUNTIF($D31:$L31,"S")</f>
        <v>1</v>
      </c>
      <c r="Q31" s="9" t="n">
        <f aca="false">COUNTIF($D31:$L31,"L")</f>
        <v>0</v>
      </c>
      <c r="R31" s="9" t="n">
        <f aca="false">COUNTA($D31:$L31)-O31-P31-Q31</f>
        <v>1</v>
      </c>
      <c r="S31" s="10" t="n">
        <f aca="false">IF($N31&gt;0,O31/$N31,0)</f>
        <v>0</v>
      </c>
      <c r="T31" s="10" t="n">
        <f aca="false">IF($N31&gt;0,P31/$N31,0)</f>
        <v>1</v>
      </c>
      <c r="U31" s="10" t="n">
        <f aca="false">IF($N31&gt;0,Q31/$N31,0)</f>
        <v>0</v>
      </c>
      <c r="V31" s="18"/>
      <c r="W31" s="18"/>
      <c r="X31" s="18"/>
      <c r="Y31" s="6" t="s">
        <v>145</v>
      </c>
    </row>
    <row r="32" customFormat="false" ht="15" hidden="false" customHeight="false" outlineLevel="0" collapsed="false">
      <c r="A32" s="12" t="s">
        <v>142</v>
      </c>
      <c r="B32" s="13" t="s">
        <v>146</v>
      </c>
      <c r="C32" s="12" t="s">
        <v>147</v>
      </c>
      <c r="D32" s="14"/>
      <c r="E32" s="14" t="s">
        <v>104</v>
      </c>
      <c r="F32" s="14"/>
      <c r="G32" s="14" t="s">
        <v>42</v>
      </c>
      <c r="H32" s="14" t="s">
        <v>105</v>
      </c>
      <c r="I32" s="14" t="s">
        <v>42</v>
      </c>
      <c r="J32" s="14"/>
      <c r="K32" s="14"/>
      <c r="L32" s="14"/>
      <c r="M32" s="14" t="s">
        <v>79</v>
      </c>
      <c r="N32" s="14" t="n">
        <v>1</v>
      </c>
      <c r="O32" s="15" t="n">
        <f aca="false">COUNTIF($D32:$L32,"W")+COUNTIF($D32:$L32,"B")</f>
        <v>0</v>
      </c>
      <c r="P32" s="15" t="n">
        <f aca="false">COUNTIF($D32:$L32,"S")</f>
        <v>2</v>
      </c>
      <c r="Q32" s="15" t="n">
        <f aca="false">COUNTIF($D32:$L32,"L")</f>
        <v>0</v>
      </c>
      <c r="R32" s="15" t="n">
        <f aca="false">COUNTA($D32:$L32)-O32-P32-Q32</f>
        <v>2</v>
      </c>
      <c r="S32" s="16" t="n">
        <f aca="false">IF($N32&gt;0,O32/$N32,0)</f>
        <v>0</v>
      </c>
      <c r="T32" s="16" t="n">
        <f aca="false">IF($N32&gt;0,P32/$N32,0)</f>
        <v>2</v>
      </c>
      <c r="U32" s="16" t="n">
        <f aca="false">IF($N32&gt;0,Q32/$N32,0)</f>
        <v>0</v>
      </c>
      <c r="V32" s="19"/>
      <c r="W32" s="19"/>
      <c r="X32" s="19"/>
      <c r="Y32" s="12" t="s">
        <v>148</v>
      </c>
    </row>
    <row r="34" customFormat="false" ht="15" hidden="false" customHeight="false" outlineLevel="0" collapsed="false">
      <c r="A34" s="3" t="s">
        <v>30</v>
      </c>
    </row>
    <row r="35" customFormat="false" ht="15" hidden="false" customHeight="false" outlineLevel="0" collapsed="false">
      <c r="A35" s="20" t="s">
        <v>149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customFormat="false" ht="15" hidden="false" customHeight="false" outlineLevel="0" collapsed="false">
      <c r="A36" s="20" t="s">
        <v>150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customFormat="false" ht="15" hidden="false" customHeight="false" outlineLevel="0" collapsed="false">
      <c r="A37" s="20" t="s">
        <v>151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customFormat="false" ht="15" hidden="false" customHeight="false" outlineLevel="0" collapsed="false">
      <c r="A38" s="20" t="s">
        <v>152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customFormat="false" ht="15" hidden="false" customHeight="false" outlineLevel="0" collapsed="false">
      <c r="A39" s="20" t="s">
        <v>153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</sheetData>
  <mergeCells count="9">
    <mergeCell ref="A2:Y2"/>
    <mergeCell ref="D3:F3"/>
    <mergeCell ref="G3:I3"/>
    <mergeCell ref="J3:L3"/>
    <mergeCell ref="A35:Y35"/>
    <mergeCell ref="A36:Y36"/>
    <mergeCell ref="A37:Y37"/>
    <mergeCell ref="A38:Y38"/>
    <mergeCell ref="A39:Y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6"/>
  </cols>
  <sheetData>
    <row r="1" customFormat="false" ht="17.3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5" t="s">
        <v>155</v>
      </c>
      <c r="B3" s="5" t="s">
        <v>156</v>
      </c>
      <c r="C3" s="5" t="s">
        <v>157</v>
      </c>
    </row>
    <row r="4" customFormat="false" ht="15" hidden="false" customHeight="false" outlineLevel="0" collapsed="false">
      <c r="A4" s="21" t="s">
        <v>34</v>
      </c>
      <c r="B4" s="22" t="s">
        <v>158</v>
      </c>
      <c r="C4" s="22" t="s">
        <v>159</v>
      </c>
    </row>
    <row r="5" customFormat="false" ht="15" hidden="false" customHeight="false" outlineLevel="0" collapsed="false">
      <c r="A5" s="21" t="s">
        <v>62</v>
      </c>
      <c r="B5" s="22" t="s">
        <v>160</v>
      </c>
      <c r="C5" s="22" t="s">
        <v>161</v>
      </c>
    </row>
    <row r="6" customFormat="false" ht="15" hidden="false" customHeight="false" outlineLevel="0" collapsed="false">
      <c r="A6" s="21" t="s">
        <v>42</v>
      </c>
      <c r="B6" s="22" t="s">
        <v>21</v>
      </c>
      <c r="C6" s="22" t="s">
        <v>162</v>
      </c>
    </row>
    <row r="7" customFormat="false" ht="15" hidden="false" customHeight="false" outlineLevel="0" collapsed="false">
      <c r="A7" s="21" t="s">
        <v>63</v>
      </c>
      <c r="B7" s="22" t="s">
        <v>22</v>
      </c>
      <c r="C7" s="22" t="s">
        <v>163</v>
      </c>
    </row>
    <row r="8" customFormat="false" ht="15" hidden="false" customHeight="false" outlineLevel="0" collapsed="false">
      <c r="A8" s="21" t="s">
        <v>67</v>
      </c>
      <c r="B8" s="22" t="s">
        <v>164</v>
      </c>
      <c r="C8" s="22" t="s">
        <v>165</v>
      </c>
    </row>
    <row r="9" customFormat="false" ht="15" hidden="false" customHeight="false" outlineLevel="0" collapsed="false">
      <c r="A9" s="21" t="s">
        <v>109</v>
      </c>
      <c r="B9" s="22" t="s">
        <v>166</v>
      </c>
      <c r="C9" s="22" t="s">
        <v>167</v>
      </c>
    </row>
    <row r="10" customFormat="false" ht="15" hidden="false" customHeight="false" outlineLevel="0" collapsed="false">
      <c r="A10" s="21" t="s">
        <v>104</v>
      </c>
      <c r="B10" s="22" t="s">
        <v>168</v>
      </c>
      <c r="C10" s="22" t="s">
        <v>169</v>
      </c>
    </row>
    <row r="11" customFormat="false" ht="15" hidden="false" customHeight="false" outlineLevel="0" collapsed="false">
      <c r="A11" s="21" t="s">
        <v>105</v>
      </c>
      <c r="B11" s="22" t="s">
        <v>170</v>
      </c>
      <c r="C11" s="22" t="s">
        <v>171</v>
      </c>
    </row>
    <row r="12" customFormat="false" ht="15" hidden="false" customHeight="false" outlineLevel="0" collapsed="false">
      <c r="A12" s="21" t="s">
        <v>99</v>
      </c>
      <c r="B12" s="22" t="s">
        <v>172</v>
      </c>
      <c r="C12" s="22" t="s">
        <v>173</v>
      </c>
    </row>
    <row r="13" customFormat="false" ht="15" hidden="false" customHeight="false" outlineLevel="0" collapsed="false">
      <c r="A13" s="21" t="s">
        <v>110</v>
      </c>
      <c r="B13" s="22" t="s">
        <v>174</v>
      </c>
      <c r="C13" s="22" t="s">
        <v>175</v>
      </c>
    </row>
    <row r="14" customFormat="false" ht="15" hidden="false" customHeight="false" outlineLevel="0" collapsed="false">
      <c r="A14" s="21" t="s">
        <v>111</v>
      </c>
      <c r="B14" s="22" t="s">
        <v>176</v>
      </c>
      <c r="C14" s="22" t="s">
        <v>177</v>
      </c>
    </row>
    <row r="15" customFormat="false" ht="15" hidden="false" customHeight="false" outlineLevel="0" collapsed="false">
      <c r="A15" s="21" t="s">
        <v>125</v>
      </c>
      <c r="B15" s="22" t="s">
        <v>178</v>
      </c>
      <c r="C15" s="22" t="s">
        <v>179</v>
      </c>
    </row>
    <row r="16" customFormat="false" ht="15" hidden="false" customHeight="false" outlineLevel="0" collapsed="false">
      <c r="A16" s="21" t="s">
        <v>118</v>
      </c>
      <c r="B16" s="22" t="s">
        <v>180</v>
      </c>
      <c r="C16" s="22" t="s">
        <v>181</v>
      </c>
    </row>
    <row r="17" customFormat="false" ht="15" hidden="false" customHeight="false" outlineLevel="0" collapsed="false">
      <c r="A17" s="21" t="s">
        <v>100</v>
      </c>
      <c r="B17" s="22" t="s">
        <v>182</v>
      </c>
      <c r="C17" s="22" t="s">
        <v>183</v>
      </c>
    </row>
    <row r="18" customFormat="false" ht="15" hidden="false" customHeight="false" outlineLevel="0" collapsed="false">
      <c r="A18" s="21" t="s">
        <v>127</v>
      </c>
      <c r="B18" s="22" t="s">
        <v>184</v>
      </c>
      <c r="C18" s="22" t="s">
        <v>185</v>
      </c>
    </row>
    <row r="19" customFormat="false" ht="15" hidden="false" customHeight="false" outlineLevel="0" collapsed="false">
      <c r="A19" s="21" t="s">
        <v>98</v>
      </c>
      <c r="B19" s="22" t="s">
        <v>186</v>
      </c>
      <c r="C19" s="22" t="s">
        <v>187</v>
      </c>
    </row>
    <row r="20" customFormat="false" ht="15" hidden="false" customHeight="false" outlineLevel="0" collapsed="false">
      <c r="A20" s="21" t="s">
        <v>131</v>
      </c>
      <c r="B20" s="22" t="s">
        <v>188</v>
      </c>
      <c r="C20" s="22" t="s">
        <v>189</v>
      </c>
    </row>
    <row r="21" customFormat="false" ht="15" hidden="false" customHeight="false" outlineLevel="0" collapsed="false">
      <c r="A21" s="21" t="s">
        <v>140</v>
      </c>
      <c r="B21" s="22" t="s">
        <v>190</v>
      </c>
      <c r="C21" s="22" t="s">
        <v>191</v>
      </c>
    </row>
    <row r="22" customFormat="false" ht="15" hidden="false" customHeight="false" outlineLevel="0" collapsed="false">
      <c r="A22" s="21" t="s">
        <v>114</v>
      </c>
      <c r="B22" s="22" t="s">
        <v>192</v>
      </c>
      <c r="C22" s="22" t="s">
        <v>193</v>
      </c>
    </row>
    <row r="23" customFormat="false" ht="15" hidden="false" customHeight="false" outlineLevel="0" collapsed="false">
      <c r="A23" s="21" t="s">
        <v>115</v>
      </c>
      <c r="B23" s="22" t="s">
        <v>194</v>
      </c>
      <c r="C23" s="22" t="s">
        <v>195</v>
      </c>
    </row>
    <row r="24" customFormat="false" ht="15" hidden="false" customHeight="false" outlineLevel="0" collapsed="false">
      <c r="A24" s="21" t="s">
        <v>116</v>
      </c>
      <c r="B24" s="22" t="s">
        <v>196</v>
      </c>
      <c r="C24" s="22" t="s">
        <v>197</v>
      </c>
    </row>
    <row r="25" customFormat="false" ht="15" hidden="false" customHeight="false" outlineLevel="0" collapsed="false">
      <c r="A25" s="21" t="s">
        <v>117</v>
      </c>
      <c r="B25" s="22" t="s">
        <v>198</v>
      </c>
      <c r="C25" s="22" t="s">
        <v>199</v>
      </c>
    </row>
    <row r="26" customFormat="false" ht="15" hidden="false" customHeight="false" outlineLevel="0" collapsed="false">
      <c r="A26" s="21" t="s">
        <v>78</v>
      </c>
      <c r="B26" s="22" t="s">
        <v>200</v>
      </c>
      <c r="C26" s="22" t="s">
        <v>33</v>
      </c>
    </row>
    <row r="27" customFormat="false" ht="15" hidden="false" customHeight="false" outlineLevel="0" collapsed="false">
      <c r="A27" s="21" t="s">
        <v>126</v>
      </c>
      <c r="B27" s="22" t="s">
        <v>201</v>
      </c>
      <c r="C27" s="22" t="s">
        <v>38</v>
      </c>
    </row>
    <row r="28" customFormat="false" ht="15" hidden="false" customHeight="false" outlineLevel="0" collapsed="false">
      <c r="A28" s="21" t="s">
        <v>83</v>
      </c>
      <c r="B28" s="22" t="s">
        <v>202</v>
      </c>
      <c r="C28" s="22" t="s">
        <v>48</v>
      </c>
    </row>
    <row r="29" customFormat="false" ht="15" hidden="false" customHeight="false" outlineLevel="0" collapsed="false">
      <c r="A29" s="21" t="s">
        <v>84</v>
      </c>
      <c r="B29" s="22" t="s">
        <v>203</v>
      </c>
      <c r="C29" s="22" t="s">
        <v>54</v>
      </c>
    </row>
    <row r="30" customFormat="false" ht="15" hidden="false" customHeight="false" outlineLevel="0" collapsed="false">
      <c r="A30" s="21" t="s">
        <v>93</v>
      </c>
      <c r="B30" s="22" t="s">
        <v>204</v>
      </c>
      <c r="C30" s="22" t="s">
        <v>51</v>
      </c>
    </row>
    <row r="31" customFormat="false" ht="15" hidden="false" customHeight="false" outlineLevel="0" collapsed="false">
      <c r="A31" s="21" t="s">
        <v>88</v>
      </c>
      <c r="B31" s="22" t="s">
        <v>205</v>
      </c>
      <c r="C31" s="22" t="s">
        <v>206</v>
      </c>
    </row>
    <row r="32" customFormat="false" ht="15" hidden="false" customHeight="false" outlineLevel="0" collapsed="false">
      <c r="A32" s="21" t="s">
        <v>89</v>
      </c>
      <c r="B32" s="22" t="s">
        <v>207</v>
      </c>
      <c r="C32" s="22" t="s">
        <v>208</v>
      </c>
    </row>
    <row r="33" customFormat="false" ht="15" hidden="false" customHeight="false" outlineLevel="0" collapsed="false">
      <c r="A33" s="21" t="s">
        <v>139</v>
      </c>
      <c r="B33" s="22" t="s">
        <v>134</v>
      </c>
      <c r="C33" s="22" t="s">
        <v>135</v>
      </c>
    </row>
    <row r="36" customFormat="false" ht="15" hidden="false" customHeight="false" outlineLevel="0" collapsed="false">
      <c r="A36" s="2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210</v>
      </c>
    </row>
    <row r="3" customFormat="false" ht="15" hidden="false" customHeight="false" outlineLevel="0" collapsed="false">
      <c r="A3" s="5" t="s">
        <v>211</v>
      </c>
      <c r="B3" s="5" t="s">
        <v>212</v>
      </c>
      <c r="C3" s="5" t="s">
        <v>213</v>
      </c>
    </row>
    <row r="4" customFormat="false" ht="15" hidden="false" customHeight="false" outlineLevel="0" collapsed="false">
      <c r="A4" s="22" t="n">
        <v>1</v>
      </c>
      <c r="B4" s="23" t="s">
        <v>214</v>
      </c>
      <c r="C4" s="24"/>
    </row>
    <row r="5" customFormat="false" ht="15" hidden="false" customHeight="false" outlineLevel="0" collapsed="false">
      <c r="A5" s="22" t="n">
        <v>2</v>
      </c>
      <c r="B5" s="23" t="s">
        <v>215</v>
      </c>
      <c r="C5" s="24"/>
    </row>
    <row r="6" customFormat="false" ht="15" hidden="false" customHeight="false" outlineLevel="0" collapsed="false">
      <c r="A6" s="22" t="n">
        <v>3</v>
      </c>
      <c r="B6" s="23" t="s">
        <v>216</v>
      </c>
      <c r="C6" s="24"/>
    </row>
    <row r="7" customFormat="false" ht="15" hidden="false" customHeight="false" outlineLevel="0" collapsed="false">
      <c r="A7" s="22" t="n">
        <v>4</v>
      </c>
      <c r="B7" s="23" t="s">
        <v>217</v>
      </c>
      <c r="C7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2026-10-12T16:26:51Z</dcterms:created>
  <dc:creator>openpyxl</dc:creator>
  <dc:description/>
  <dc:language>en-US</dc:language>
  <cp:lastModifiedBy/>
  <dcterms:modified xsi:type="dcterms:W3CDTF">2026-10-12T16:26:52Z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